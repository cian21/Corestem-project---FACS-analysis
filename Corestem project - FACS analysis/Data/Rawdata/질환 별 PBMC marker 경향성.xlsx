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orestem project - FACS analysis\Corestem project - FACS analysis\Data\Rawdata\"/>
    </mc:Choice>
  </mc:AlternateContent>
  <bookViews>
    <workbookView xWindow="0" yWindow="0" windowWidth="28800" windowHeight="12390" activeTab="4"/>
  </bookViews>
  <sheets>
    <sheet name="정상인" sheetId="4" r:id="rId1"/>
    <sheet name="SLE" sheetId="5" r:id="rId2"/>
    <sheet name="MSA" sheetId="6" r:id="rId3"/>
    <sheet name="CA" sheetId="7" r:id="rId4"/>
    <sheet name="merged" sheetId="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7" l="1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R6" i="7"/>
  <c r="Q6" i="7"/>
  <c r="P6" i="7"/>
  <c r="O6" i="7"/>
  <c r="N6" i="7"/>
  <c r="M6" i="7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0" i="6"/>
  <c r="T9" i="6"/>
  <c r="S6" i="6"/>
  <c r="R6" i="6"/>
  <c r="Q6" i="6"/>
  <c r="P6" i="6"/>
  <c r="O6" i="6"/>
  <c r="N6" i="6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0" i="5"/>
  <c r="U9" i="5"/>
  <c r="T6" i="5"/>
  <c r="S6" i="5"/>
  <c r="R6" i="5"/>
  <c r="Q6" i="5"/>
  <c r="P6" i="5"/>
  <c r="O6" i="5"/>
  <c r="J21" i="7" l="1"/>
  <c r="J20" i="7"/>
  <c r="J19" i="7"/>
  <c r="J18" i="7"/>
  <c r="J17" i="7"/>
  <c r="J16" i="7"/>
  <c r="J15" i="7"/>
  <c r="J14" i="7"/>
  <c r="J13" i="7"/>
  <c r="J12" i="7"/>
  <c r="J11" i="7"/>
  <c r="J10" i="7"/>
  <c r="J9" i="7"/>
  <c r="I6" i="7"/>
  <c r="H6" i="7"/>
  <c r="G6" i="7"/>
  <c r="F6" i="7"/>
  <c r="E6" i="7"/>
  <c r="D6" i="7"/>
  <c r="C6" i="7"/>
  <c r="B6" i="7"/>
  <c r="L9" i="5" l="1"/>
  <c r="L10" i="5"/>
  <c r="L11" i="5"/>
  <c r="L12" i="5"/>
  <c r="L13" i="5"/>
  <c r="L14" i="5"/>
  <c r="L15" i="5"/>
  <c r="L16" i="5"/>
  <c r="L17" i="5"/>
  <c r="L19" i="5"/>
  <c r="L20" i="5"/>
  <c r="L21" i="5"/>
  <c r="L22" i="5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K6" i="5"/>
  <c r="J6" i="5"/>
  <c r="I6" i="5"/>
  <c r="H6" i="5"/>
  <c r="G6" i="5"/>
  <c r="F6" i="5"/>
  <c r="E6" i="5"/>
  <c r="D6" i="5"/>
  <c r="C6" i="5"/>
  <c r="B6" i="5"/>
  <c r="I6" i="6" l="1"/>
  <c r="J6" i="6"/>
  <c r="C6" i="6"/>
  <c r="D6" i="6"/>
  <c r="E6" i="6"/>
  <c r="F6" i="6"/>
  <c r="G6" i="6"/>
  <c r="H6" i="6"/>
  <c r="B6" i="6"/>
  <c r="G6" i="4" l="1"/>
  <c r="F6" i="4"/>
  <c r="E6" i="4"/>
  <c r="D6" i="4"/>
  <c r="C6" i="4"/>
  <c r="B6" i="4"/>
</calcChain>
</file>

<file path=xl/sharedStrings.xml><?xml version="1.0" encoding="utf-8"?>
<sst xmlns="http://schemas.openxmlformats.org/spreadsheetml/2006/main" count="325" uniqueCount="127">
  <si>
    <t>Sample</t>
    <phoneticPr fontId="2" type="noConversion"/>
  </si>
  <si>
    <r>
      <t>PBMC # (x 10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7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</si>
  <si>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Blood Vol. (ml)</t>
    <phoneticPr fontId="2" type="noConversion"/>
  </si>
  <si>
    <t>Cell / ml</t>
    <phoneticPr fontId="2" type="noConversion"/>
  </si>
  <si>
    <t>Percent(%)</t>
    <phoneticPr fontId="2" type="noConversion"/>
  </si>
  <si>
    <t>Th1 cell</t>
    <phoneticPr fontId="2" type="noConversion"/>
  </si>
  <si>
    <t>Th2 cell</t>
    <phoneticPr fontId="2" type="noConversion"/>
  </si>
  <si>
    <t>Th17 cell</t>
    <phoneticPr fontId="2" type="noConversion"/>
  </si>
  <si>
    <t>Tfh cell</t>
    <phoneticPr fontId="2" type="noConversion"/>
  </si>
  <si>
    <r>
      <t>Mono/M</t>
    </r>
    <r>
      <rPr>
        <b/>
        <sz val="11"/>
        <color theme="1"/>
        <rFont val="맑은 고딕"/>
        <family val="3"/>
        <charset val="129"/>
      </rPr>
      <t>Φ(CD14+)</t>
    </r>
    <phoneticPr fontId="2" type="noConversion"/>
  </si>
  <si>
    <t>M1(CD80+)</t>
    <phoneticPr fontId="2" type="noConversion"/>
  </si>
  <si>
    <t>M2a(CD206+)</t>
    <phoneticPr fontId="2" type="noConversion"/>
  </si>
  <si>
    <t>M2c(CD163+)</t>
    <phoneticPr fontId="2" type="noConversion"/>
  </si>
  <si>
    <t>B cell(CD19+)</t>
    <phoneticPr fontId="2" type="noConversion"/>
  </si>
  <si>
    <t>Plasma(CD138+)</t>
    <phoneticPr fontId="2" type="noConversion"/>
  </si>
  <si>
    <t>Control</t>
    <phoneticPr fontId="2" type="noConversion"/>
  </si>
  <si>
    <t>CD4 CD8 cell</t>
    <phoneticPr fontId="2" type="noConversion"/>
  </si>
  <si>
    <t>CD4 CD3 cell</t>
    <phoneticPr fontId="2" type="noConversion"/>
  </si>
  <si>
    <t>NK(NKG2D+)</t>
    <phoneticPr fontId="2" type="noConversion"/>
  </si>
  <si>
    <t>NK(NKp46+)</t>
    <phoneticPr fontId="2" type="noConversion"/>
  </si>
  <si>
    <t>Treg(CD4+, Foxp3+)</t>
    <phoneticPr fontId="2" type="noConversion"/>
  </si>
  <si>
    <t>CGH(M/78) 0d</t>
    <phoneticPr fontId="2" type="noConversion"/>
  </si>
  <si>
    <t>CYM(M/80) 0d</t>
    <phoneticPr fontId="2" type="noConversion"/>
  </si>
  <si>
    <t>KDG(M/65) 0d</t>
    <phoneticPr fontId="2" type="noConversion"/>
  </si>
  <si>
    <t>SYI(F/65) 0d</t>
    <phoneticPr fontId="2" type="noConversion"/>
  </si>
  <si>
    <t>KDG 0d</t>
    <phoneticPr fontId="2" type="noConversion"/>
  </si>
  <si>
    <t>SYI 0d</t>
    <phoneticPr fontId="2" type="noConversion"/>
  </si>
  <si>
    <t>CJE(M/31) 0d</t>
    <phoneticPr fontId="2" type="noConversion"/>
  </si>
  <si>
    <t>SCJ(M/31) 0d</t>
    <phoneticPr fontId="2" type="noConversion"/>
  </si>
  <si>
    <t>PJY</t>
  </si>
  <si>
    <t>YBW</t>
  </si>
  <si>
    <t>IJS</t>
  </si>
  <si>
    <t>JSY</t>
  </si>
  <si>
    <t>NDH</t>
  </si>
  <si>
    <t>JSJ</t>
  </si>
  <si>
    <t>KBK</t>
  </si>
  <si>
    <t>CD3 cell</t>
  </si>
  <si>
    <t>CD4 cell</t>
  </si>
  <si>
    <t>CD8 cell</t>
  </si>
  <si>
    <t>Th1 cell</t>
  </si>
  <si>
    <t>Th2 cell</t>
  </si>
  <si>
    <t>Th17 cell</t>
  </si>
  <si>
    <t>Tfh cell</t>
  </si>
  <si>
    <t>Treg(CD25+, Foxp3+)</t>
  </si>
  <si>
    <t>M1</t>
  </si>
  <si>
    <t>M2a(CD206+)</t>
  </si>
  <si>
    <t>B cell</t>
  </si>
  <si>
    <t>Plasma</t>
  </si>
  <si>
    <r>
      <t>Mono/M</t>
    </r>
    <r>
      <rPr>
        <b/>
        <sz val="11"/>
        <color rgb="FF000000"/>
        <rFont val="Arial"/>
        <family val="2"/>
      </rPr>
      <t>Φ</t>
    </r>
  </si>
  <si>
    <t>SLE 임상1상</t>
    <phoneticPr fontId="2" type="noConversion"/>
  </si>
  <si>
    <t>YJS</t>
  </si>
  <si>
    <t>YYJ</t>
  </si>
  <si>
    <t>BHJ</t>
  </si>
  <si>
    <t>Sample</t>
    <phoneticPr fontId="2" type="noConversion"/>
  </si>
  <si>
    <t>MSA 임상1상</t>
    <phoneticPr fontId="2" type="noConversion"/>
  </si>
  <si>
    <t>01-S101</t>
    <phoneticPr fontId="2" type="noConversion"/>
  </si>
  <si>
    <t>기록없음</t>
    <phoneticPr fontId="2" type="noConversion"/>
  </si>
  <si>
    <t>01-S102</t>
    <phoneticPr fontId="2" type="noConversion"/>
  </si>
  <si>
    <t>01-S103</t>
    <phoneticPr fontId="2" type="noConversion"/>
  </si>
  <si>
    <t>01-S201</t>
    <phoneticPr fontId="2" type="noConversion"/>
  </si>
  <si>
    <t>01-S202</t>
    <phoneticPr fontId="2" type="noConversion"/>
  </si>
  <si>
    <t>01-S203</t>
    <phoneticPr fontId="2" type="noConversion"/>
  </si>
  <si>
    <t>01-S301</t>
    <phoneticPr fontId="2" type="noConversion"/>
  </si>
  <si>
    <t>01-S302</t>
  </si>
  <si>
    <t>01-S303</t>
  </si>
  <si>
    <t>SLE 응급임상</t>
    <phoneticPr fontId="2" type="noConversion"/>
  </si>
  <si>
    <t>평균수치</t>
    <phoneticPr fontId="2" type="noConversion"/>
  </si>
  <si>
    <t>BBH</t>
    <phoneticPr fontId="2" type="noConversion"/>
  </si>
  <si>
    <t>BBH</t>
    <phoneticPr fontId="2" type="noConversion"/>
  </si>
  <si>
    <t>BMS</t>
    <phoneticPr fontId="2" type="noConversion"/>
  </si>
  <si>
    <t>BMS</t>
    <phoneticPr fontId="2" type="noConversion"/>
  </si>
  <si>
    <t>JYJ</t>
    <phoneticPr fontId="2" type="noConversion"/>
  </si>
  <si>
    <t>KDB</t>
    <phoneticPr fontId="2" type="noConversion"/>
  </si>
  <si>
    <t>KDB</t>
    <phoneticPr fontId="2" type="noConversion"/>
  </si>
  <si>
    <t>KKH</t>
    <phoneticPr fontId="2" type="noConversion"/>
  </si>
  <si>
    <t>KYS</t>
    <phoneticPr fontId="2" type="noConversion"/>
  </si>
  <si>
    <t>LJO</t>
    <phoneticPr fontId="2" type="noConversion"/>
  </si>
  <si>
    <t>LSJ</t>
    <phoneticPr fontId="2" type="noConversion"/>
  </si>
  <si>
    <t>Cell / ml</t>
    <phoneticPr fontId="2" type="noConversion"/>
  </si>
  <si>
    <t>LSJ</t>
    <phoneticPr fontId="2" type="noConversion"/>
  </si>
  <si>
    <r>
      <t>Mono/M</t>
    </r>
    <r>
      <rPr>
        <b/>
        <sz val="11"/>
        <color theme="1"/>
        <rFont val="맑은 고딕"/>
        <family val="3"/>
        <charset val="129"/>
      </rPr>
      <t>Φ(CD14+)</t>
    </r>
    <phoneticPr fontId="2" type="noConversion"/>
  </si>
  <si>
    <t>M1(CD80+)</t>
    <phoneticPr fontId="2" type="noConversion"/>
  </si>
  <si>
    <t>B cell(CD19+)</t>
    <phoneticPr fontId="2" type="noConversion"/>
  </si>
  <si>
    <t>Plasma(CD138+)</t>
    <phoneticPr fontId="2" type="noConversion"/>
  </si>
  <si>
    <t>CA 연구자임상</t>
    <phoneticPr fontId="2" type="noConversion"/>
  </si>
  <si>
    <t>1) Th1 cell</t>
    <phoneticPr fontId="2" type="noConversion"/>
  </si>
  <si>
    <t>SLE환자&gt;정상인</t>
    <phoneticPr fontId="2" type="noConversion"/>
  </si>
  <si>
    <t>2) Th17</t>
    <phoneticPr fontId="2" type="noConversion"/>
  </si>
  <si>
    <t>M2c(CD163+)</t>
    <phoneticPr fontId="2" type="noConversion"/>
  </si>
  <si>
    <t>3) M2c(CD163+)</t>
    <phoneticPr fontId="2" type="noConversion"/>
  </si>
  <si>
    <t>*자가면역질환에 염두해둔 Tfhcell, Bcell marker로 잡기 애매하다고 판단 됨.</t>
    <phoneticPr fontId="2" type="noConversion"/>
  </si>
  <si>
    <t>MSA환자&gt;정상인</t>
    <phoneticPr fontId="2" type="noConversion"/>
  </si>
  <si>
    <t>MSA환자&gt;정상인</t>
    <phoneticPr fontId="2" type="noConversion"/>
  </si>
  <si>
    <t>M2a(CD206+)</t>
    <phoneticPr fontId="2" type="noConversion"/>
  </si>
  <si>
    <t>M2c(CD163+)</t>
    <phoneticPr fontId="2" type="noConversion"/>
  </si>
  <si>
    <t>3) M2a(CD206+)</t>
    <phoneticPr fontId="2" type="noConversion"/>
  </si>
  <si>
    <t>4) M2c(CD163+)</t>
    <phoneticPr fontId="2" type="noConversion"/>
  </si>
  <si>
    <t>5) Bcell</t>
    <phoneticPr fontId="2" type="noConversion"/>
  </si>
  <si>
    <t>*Th1, Th17의 marker는 ELISA로 분석하되, MSA환자에서의 Surface marker에서 유의한 
수치를 보이는 M2a(CD206+), M2c(CD163+), Bcell의 경향을 더 찾아서 marker로 적합할 시  선정하고자 함.</t>
    <phoneticPr fontId="2" type="noConversion"/>
  </si>
  <si>
    <t>CD4 CD8 cell</t>
    <phoneticPr fontId="2" type="noConversion"/>
  </si>
  <si>
    <t>1) CD4 CD8 cell</t>
    <phoneticPr fontId="2" type="noConversion"/>
  </si>
  <si>
    <t>Th2 cell</t>
    <phoneticPr fontId="2" type="noConversion"/>
  </si>
  <si>
    <t>2) Th2 cell</t>
    <phoneticPr fontId="2" type="noConversion"/>
  </si>
  <si>
    <t>CA환자&gt;정상인</t>
    <phoneticPr fontId="2" type="noConversion"/>
  </si>
  <si>
    <t>CA환자&gt;정상인</t>
    <phoneticPr fontId="2" type="noConversion"/>
  </si>
  <si>
    <t>Th2 marker는 ELISA로 분석하되, Surface marker에서 CD4 CD8 cell (cytotoxity T cell)을
중점적으로 보고자 함.</t>
    <phoneticPr fontId="2" type="noConversion"/>
  </si>
  <si>
    <t>CGH</t>
    <phoneticPr fontId="2" type="noConversion"/>
  </si>
  <si>
    <t>CYM</t>
    <phoneticPr fontId="2" type="noConversion"/>
  </si>
  <si>
    <t>KDG</t>
    <phoneticPr fontId="2" type="noConversion"/>
  </si>
  <si>
    <t>SYI</t>
    <phoneticPr fontId="2" type="noConversion"/>
  </si>
  <si>
    <t>CJE</t>
    <phoneticPr fontId="2" type="noConversion"/>
  </si>
  <si>
    <t>SCJ</t>
    <phoneticPr fontId="2" type="noConversion"/>
  </si>
  <si>
    <t>Group</t>
    <phoneticPr fontId="2" type="noConversion"/>
  </si>
  <si>
    <t>lupus</t>
    <phoneticPr fontId="2" type="noConversion"/>
  </si>
  <si>
    <t>control</t>
    <phoneticPr fontId="2" type="noConversion"/>
  </si>
  <si>
    <t xml:space="preserve">CD3 </t>
  </si>
  <si>
    <t xml:space="preserve">CD4 </t>
  </si>
  <si>
    <t xml:space="preserve">CD8 </t>
  </si>
  <si>
    <t xml:space="preserve">Th1 </t>
  </si>
  <si>
    <t xml:space="preserve">Th2 </t>
  </si>
  <si>
    <t xml:space="preserve">Th17 </t>
  </si>
  <si>
    <t xml:space="preserve">Tfh </t>
  </si>
  <si>
    <t xml:space="preserve">B </t>
  </si>
  <si>
    <t>Treg</t>
    <phoneticPr fontId="2" type="noConversion"/>
  </si>
  <si>
    <t>M2a</t>
    <phoneticPr fontId="2" type="noConversion"/>
  </si>
  <si>
    <t>M2c</t>
    <phoneticPr fontId="2" type="noConversion"/>
  </si>
  <si>
    <t>Mono_Macropahges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</si>
</sst>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000000"/>
      <name val="Calibri"/>
      <family val="2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2" fontId="1" fillId="0" borderId="0" xfId="0" applyNumberFormat="1" applyFont="1">
      <alignment vertical="center"/>
    </xf>
    <xf numFmtId="2" fontId="0" fillId="0" borderId="0" xfId="0" applyNumberFormat="1">
      <alignment vertical="center"/>
    </xf>
    <xf numFmtId="0" fontId="4" fillId="8" borderId="1" xfId="1" applyFont="1" applyBorder="1" applyAlignment="1">
      <alignment horizontal="center" vertical="center"/>
    </xf>
    <xf numFmtId="2" fontId="4" fillId="0" borderId="1" xfId="0" applyNumberFormat="1" applyFont="1" applyBorder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7" fillId="9" borderId="1" xfId="2" applyNumberFormat="1" applyFont="1" applyBorder="1">
      <alignment vertical="center"/>
    </xf>
    <xf numFmtId="0" fontId="0" fillId="0" borderId="1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3">
    <cellStyle name="40% - 강조색4" xfId="1" builtinId="43"/>
    <cellStyle name="나쁨" xfId="2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8" sqref="A8:G23"/>
    </sheetView>
  </sheetViews>
  <sheetFormatPr defaultColWidth="8.75" defaultRowHeight="16.5" x14ac:dyDescent="0.3"/>
  <cols>
    <col min="1" max="1" width="27.875" style="1" customWidth="1"/>
    <col min="2" max="3" width="19.375" style="1" customWidth="1"/>
    <col min="4" max="4" width="15.25" style="1" customWidth="1"/>
    <col min="5" max="5" width="15.375" style="1" customWidth="1"/>
    <col min="6" max="6" width="15.5" style="1" customWidth="1"/>
    <col min="7" max="7" width="13.875" style="1" customWidth="1"/>
    <col min="8" max="8" width="10" style="1" customWidth="1"/>
    <col min="9" max="16384" width="8.75" style="1"/>
  </cols>
  <sheetData>
    <row r="1" spans="1:8" x14ac:dyDescent="0.3">
      <c r="A1" s="13" t="s">
        <v>15</v>
      </c>
    </row>
    <row r="3" spans="1:8" x14ac:dyDescent="0.3">
      <c r="A3" s="2" t="s">
        <v>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27</v>
      </c>
      <c r="G3" s="3" t="s">
        <v>28</v>
      </c>
    </row>
    <row r="4" spans="1:8" x14ac:dyDescent="0.3">
      <c r="A4" s="4" t="s">
        <v>1</v>
      </c>
      <c r="B4" s="18">
        <v>1.49</v>
      </c>
      <c r="C4" s="19">
        <v>4.3</v>
      </c>
      <c r="D4" s="20">
        <v>3.51</v>
      </c>
      <c r="E4" s="19">
        <v>2.98</v>
      </c>
      <c r="F4" s="5">
        <v>2.1</v>
      </c>
      <c r="G4" s="6">
        <v>4.5999999999999996</v>
      </c>
      <c r="H4" s="42"/>
    </row>
    <row r="5" spans="1:8" x14ac:dyDescent="0.3">
      <c r="A5" s="7" t="s">
        <v>2</v>
      </c>
      <c r="B5" s="21">
        <v>16</v>
      </c>
      <c r="C5" s="22">
        <v>15</v>
      </c>
      <c r="D5" s="23">
        <v>15.5</v>
      </c>
      <c r="E5" s="22">
        <v>16</v>
      </c>
      <c r="F5" s="8">
        <v>10.7</v>
      </c>
      <c r="G5" s="9">
        <v>16</v>
      </c>
      <c r="H5" s="42"/>
    </row>
    <row r="6" spans="1:8" x14ac:dyDescent="0.3">
      <c r="A6" s="10" t="s">
        <v>3</v>
      </c>
      <c r="B6" s="24">
        <f>B4/B5*10000000</f>
        <v>931250</v>
      </c>
      <c r="C6" s="25">
        <f t="shared" ref="C6:E6" si="0">C4/C5*10000000</f>
        <v>2866666.666666667</v>
      </c>
      <c r="D6" s="26">
        <f t="shared" si="0"/>
        <v>2264516.1290322579</v>
      </c>
      <c r="E6" s="25">
        <f t="shared" si="0"/>
        <v>1862500</v>
      </c>
      <c r="F6" s="11">
        <f>F4/F5*10000000</f>
        <v>1962616.8224299068</v>
      </c>
      <c r="G6" s="12">
        <f>G4/G5*10000000</f>
        <v>2875000</v>
      </c>
      <c r="H6" s="42"/>
    </row>
    <row r="7" spans="1:8" x14ac:dyDescent="0.3">
      <c r="A7" s="13"/>
      <c r="B7" s="13"/>
      <c r="C7" s="13"/>
      <c r="D7" s="13"/>
      <c r="E7" s="13"/>
      <c r="F7" s="13"/>
      <c r="G7" s="13"/>
    </row>
    <row r="8" spans="1:8" x14ac:dyDescent="0.3">
      <c r="A8" s="2" t="s">
        <v>4</v>
      </c>
      <c r="B8" s="3" t="s">
        <v>21</v>
      </c>
      <c r="C8" s="3" t="s">
        <v>22</v>
      </c>
      <c r="D8" s="3" t="s">
        <v>25</v>
      </c>
      <c r="E8" s="3" t="s">
        <v>26</v>
      </c>
      <c r="F8" s="3" t="s">
        <v>27</v>
      </c>
      <c r="G8" s="3" t="s">
        <v>28</v>
      </c>
      <c r="H8" s="44" t="s">
        <v>66</v>
      </c>
    </row>
    <row r="9" spans="1:8" x14ac:dyDescent="0.3">
      <c r="A9" s="7" t="s">
        <v>17</v>
      </c>
      <c r="B9" s="14">
        <v>29.3</v>
      </c>
      <c r="C9" s="15">
        <v>23.6</v>
      </c>
      <c r="D9" s="14">
        <v>48.2</v>
      </c>
      <c r="E9" s="15">
        <v>41.9</v>
      </c>
      <c r="F9" s="14">
        <v>18.2</v>
      </c>
      <c r="G9" s="15">
        <v>53.3</v>
      </c>
      <c r="H9" s="45">
        <f t="shared" ref="H9:H23" si="1">AVERAGE(B9:G9)</f>
        <v>35.75</v>
      </c>
    </row>
    <row r="10" spans="1:8" x14ac:dyDescent="0.3">
      <c r="A10" s="7" t="s">
        <v>16</v>
      </c>
      <c r="B10" s="14">
        <v>1.78</v>
      </c>
      <c r="C10" s="15">
        <v>0.37</v>
      </c>
      <c r="D10" s="14">
        <v>2.62</v>
      </c>
      <c r="E10" s="15">
        <v>0.99</v>
      </c>
      <c r="F10" s="14">
        <v>0.57999999999999996</v>
      </c>
      <c r="G10" s="15">
        <v>1.2</v>
      </c>
      <c r="H10" s="45">
        <f t="shared" si="1"/>
        <v>1.2566666666666666</v>
      </c>
    </row>
    <row r="11" spans="1:8" x14ac:dyDescent="0.3">
      <c r="A11" s="7" t="s">
        <v>5</v>
      </c>
      <c r="B11" s="27">
        <v>0.92</v>
      </c>
      <c r="C11" s="27">
        <v>4.41</v>
      </c>
      <c r="D11" s="27">
        <v>12.6</v>
      </c>
      <c r="E11" s="28">
        <v>6.39</v>
      </c>
      <c r="F11" s="14">
        <v>2.59</v>
      </c>
      <c r="G11" s="15">
        <v>2.82</v>
      </c>
      <c r="H11" s="45">
        <f t="shared" si="1"/>
        <v>4.9550000000000001</v>
      </c>
    </row>
    <row r="12" spans="1:8" x14ac:dyDescent="0.3">
      <c r="A12" s="7" t="s">
        <v>6</v>
      </c>
      <c r="B12" s="27">
        <v>1</v>
      </c>
      <c r="C12" s="27">
        <v>1.44</v>
      </c>
      <c r="D12" s="27">
        <v>1.8</v>
      </c>
      <c r="E12" s="28">
        <v>1.89</v>
      </c>
      <c r="F12" s="14">
        <v>0.2</v>
      </c>
      <c r="G12" s="15">
        <v>0.54</v>
      </c>
      <c r="H12" s="45">
        <f t="shared" si="1"/>
        <v>1.145</v>
      </c>
    </row>
    <row r="13" spans="1:8" x14ac:dyDescent="0.3">
      <c r="A13" s="7" t="s">
        <v>7</v>
      </c>
      <c r="B13" s="27">
        <v>0.12</v>
      </c>
      <c r="C13" s="27">
        <v>0.27</v>
      </c>
      <c r="D13" s="27">
        <v>0.46</v>
      </c>
      <c r="E13" s="28">
        <v>0.55000000000000004</v>
      </c>
      <c r="F13" s="14">
        <v>3.2000000000000001E-2</v>
      </c>
      <c r="G13" s="15">
        <v>0.14000000000000001</v>
      </c>
      <c r="H13" s="45">
        <f t="shared" si="1"/>
        <v>0.26200000000000001</v>
      </c>
    </row>
    <row r="14" spans="1:8" x14ac:dyDescent="0.3">
      <c r="A14" s="7" t="s">
        <v>8</v>
      </c>
      <c r="B14" s="27">
        <v>1.46</v>
      </c>
      <c r="C14" s="27">
        <v>0.78</v>
      </c>
      <c r="D14" s="27">
        <v>2.25</v>
      </c>
      <c r="E14" s="28">
        <v>1.53</v>
      </c>
      <c r="F14" s="14">
        <v>0</v>
      </c>
      <c r="G14" s="15">
        <v>1.07</v>
      </c>
      <c r="H14" s="45">
        <f t="shared" si="1"/>
        <v>1.1816666666666669</v>
      </c>
    </row>
    <row r="15" spans="1:8" x14ac:dyDescent="0.3">
      <c r="A15" s="7" t="s">
        <v>20</v>
      </c>
      <c r="B15" s="27">
        <v>1.35</v>
      </c>
      <c r="C15" s="27">
        <v>0.71</v>
      </c>
      <c r="D15" s="27">
        <v>1.58</v>
      </c>
      <c r="E15" s="28">
        <v>2.38</v>
      </c>
      <c r="F15" s="14">
        <v>1.53</v>
      </c>
      <c r="G15" s="15">
        <v>3.03</v>
      </c>
      <c r="H15" s="45">
        <f t="shared" si="1"/>
        <v>1.7633333333333334</v>
      </c>
    </row>
    <row r="16" spans="1:8" x14ac:dyDescent="0.3">
      <c r="A16" s="7" t="s">
        <v>9</v>
      </c>
      <c r="B16" s="27">
        <v>20.87</v>
      </c>
      <c r="C16" s="27">
        <v>10.029999999999999</v>
      </c>
      <c r="D16" s="27">
        <v>0.82</v>
      </c>
      <c r="E16" s="28">
        <v>6.47</v>
      </c>
      <c r="F16" s="14">
        <v>16.600000000000001</v>
      </c>
      <c r="G16" s="15">
        <v>10.9</v>
      </c>
      <c r="H16" s="45">
        <f t="shared" si="1"/>
        <v>10.948333333333332</v>
      </c>
    </row>
    <row r="17" spans="1:8" x14ac:dyDescent="0.3">
      <c r="A17" s="7" t="s">
        <v>10</v>
      </c>
      <c r="B17" s="27">
        <v>0</v>
      </c>
      <c r="C17" s="27">
        <v>9.6000000000000002E-2</v>
      </c>
      <c r="D17" s="27">
        <v>0.13</v>
      </c>
      <c r="E17" s="28">
        <v>0</v>
      </c>
      <c r="F17" s="14">
        <v>1.7000000000000001E-2</v>
      </c>
      <c r="G17" s="15">
        <v>1.9E-2</v>
      </c>
      <c r="H17" s="45">
        <f t="shared" si="1"/>
        <v>4.3666666666666666E-2</v>
      </c>
    </row>
    <row r="18" spans="1:8" x14ac:dyDescent="0.3">
      <c r="A18" s="7" t="s">
        <v>11</v>
      </c>
      <c r="B18" s="27">
        <v>0.33</v>
      </c>
      <c r="C18" s="27">
        <v>0.16</v>
      </c>
      <c r="D18" s="27">
        <v>6.5000000000000002E-2</v>
      </c>
      <c r="E18" s="28">
        <v>0.16</v>
      </c>
      <c r="F18" s="14">
        <v>0.25</v>
      </c>
      <c r="G18" s="15">
        <v>9.5000000000000001E-2</v>
      </c>
      <c r="H18" s="45">
        <f t="shared" si="1"/>
        <v>0.17666666666666667</v>
      </c>
    </row>
    <row r="19" spans="1:8" x14ac:dyDescent="0.3">
      <c r="A19" s="7" t="s">
        <v>12</v>
      </c>
      <c r="B19" s="27">
        <v>17.399999999999999</v>
      </c>
      <c r="C19" s="27">
        <v>9.5299999999999994</v>
      </c>
      <c r="D19" s="27">
        <v>11.8</v>
      </c>
      <c r="E19" s="28">
        <v>4.4400000000000004</v>
      </c>
      <c r="F19" s="14">
        <v>18</v>
      </c>
      <c r="G19" s="15">
        <v>10.4</v>
      </c>
      <c r="H19" s="45">
        <f t="shared" si="1"/>
        <v>11.928333333333335</v>
      </c>
    </row>
    <row r="20" spans="1:8" x14ac:dyDescent="0.3">
      <c r="A20" s="7" t="s">
        <v>13</v>
      </c>
      <c r="B20" s="27">
        <v>4.3899999999999997</v>
      </c>
      <c r="C20" s="27">
        <v>18.399999999999999</v>
      </c>
      <c r="D20" s="27">
        <v>17.899999999999999</v>
      </c>
      <c r="E20" s="28">
        <v>18.7</v>
      </c>
      <c r="F20" s="14">
        <v>9.18</v>
      </c>
      <c r="G20" s="15">
        <v>12.8</v>
      </c>
      <c r="H20" s="45">
        <f t="shared" si="1"/>
        <v>13.561666666666666</v>
      </c>
    </row>
    <row r="21" spans="1:8" x14ac:dyDescent="0.3">
      <c r="A21" s="10" t="s">
        <v>14</v>
      </c>
      <c r="B21" s="29">
        <v>2.48</v>
      </c>
      <c r="C21" s="29">
        <v>0.81</v>
      </c>
      <c r="D21" s="29">
        <v>0.27</v>
      </c>
      <c r="E21" s="30">
        <v>0.4</v>
      </c>
      <c r="F21" s="16">
        <v>0.15</v>
      </c>
      <c r="G21" s="17">
        <v>8.7999999999999995E-2</v>
      </c>
      <c r="H21" s="45">
        <f t="shared" si="1"/>
        <v>0.69966666666666677</v>
      </c>
    </row>
    <row r="22" spans="1:8" x14ac:dyDescent="0.3">
      <c r="A22" s="7" t="s">
        <v>18</v>
      </c>
      <c r="B22" s="31">
        <v>81.2</v>
      </c>
      <c r="C22" s="31">
        <v>95.1</v>
      </c>
      <c r="D22" s="31">
        <v>94.1</v>
      </c>
      <c r="E22" s="32">
        <v>83.8</v>
      </c>
      <c r="F22" s="14">
        <v>62.4</v>
      </c>
      <c r="G22" s="15">
        <v>33.200000000000003</v>
      </c>
      <c r="H22" s="45">
        <f t="shared" si="1"/>
        <v>74.966666666666654</v>
      </c>
    </row>
    <row r="23" spans="1:8" x14ac:dyDescent="0.3">
      <c r="A23" s="10" t="s">
        <v>19</v>
      </c>
      <c r="B23" s="29">
        <v>42.4</v>
      </c>
      <c r="C23" s="29">
        <v>83.9</v>
      </c>
      <c r="D23" s="29">
        <v>74.5</v>
      </c>
      <c r="E23" s="30">
        <v>38.5</v>
      </c>
      <c r="F23" s="16">
        <v>14.6</v>
      </c>
      <c r="G23" s="17">
        <v>7.58</v>
      </c>
      <c r="H23" s="45">
        <f t="shared" si="1"/>
        <v>43.580000000000005</v>
      </c>
    </row>
    <row r="24" spans="1:8" x14ac:dyDescent="0.3">
      <c r="B24" s="42"/>
      <c r="C24" s="42"/>
      <c r="D24" s="42"/>
      <c r="E24" s="43"/>
      <c r="F24" s="43"/>
      <c r="G24" s="4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D31" sqref="D31"/>
    </sheetView>
  </sheetViews>
  <sheetFormatPr defaultRowHeight="16.5" x14ac:dyDescent="0.3"/>
  <cols>
    <col min="1" max="1" width="18" bestFit="1" customWidth="1"/>
    <col min="2" max="7" width="8.375" bestFit="1" customWidth="1"/>
    <col min="8" max="8" width="7.125" bestFit="1" customWidth="1"/>
    <col min="9" max="9" width="11.25" customWidth="1"/>
    <col min="10" max="11" width="7.125" bestFit="1" customWidth="1"/>
    <col min="12" max="12" width="9.25" bestFit="1" customWidth="1"/>
    <col min="13" max="13" width="2.875" customWidth="1"/>
    <col min="14" max="14" width="21" bestFit="1" customWidth="1"/>
    <col min="15" max="16" width="15.375" bestFit="1" customWidth="1"/>
    <col min="17" max="17" width="15.25" bestFit="1" customWidth="1"/>
    <col min="18" max="18" width="13" bestFit="1" customWidth="1"/>
    <col min="19" max="19" width="14.125" customWidth="1"/>
    <col min="20" max="20" width="14.125" bestFit="1" customWidth="1"/>
    <col min="21" max="21" width="9.25" bestFit="1" customWidth="1"/>
  </cols>
  <sheetData>
    <row r="1" spans="1:21" x14ac:dyDescent="0.3">
      <c r="A1" t="s">
        <v>49</v>
      </c>
      <c r="I1" t="s">
        <v>65</v>
      </c>
      <c r="N1" s="13" t="s">
        <v>15</v>
      </c>
      <c r="O1" s="1"/>
      <c r="P1" s="1"/>
      <c r="Q1" s="1"/>
      <c r="R1" s="1"/>
      <c r="S1" s="1"/>
      <c r="T1" s="1"/>
      <c r="U1" s="1"/>
    </row>
    <row r="2" spans="1:21" x14ac:dyDescent="0.3">
      <c r="N2" s="1"/>
      <c r="O2" s="1"/>
      <c r="P2" s="1"/>
      <c r="Q2" s="1"/>
      <c r="R2" s="1"/>
      <c r="S2" s="1"/>
      <c r="T2" s="1"/>
      <c r="U2" s="1"/>
    </row>
    <row r="3" spans="1:21" x14ac:dyDescent="0.3">
      <c r="A3" s="2" t="s">
        <v>0</v>
      </c>
      <c r="B3" s="41" t="s">
        <v>29</v>
      </c>
      <c r="C3" s="41" t="s">
        <v>30</v>
      </c>
      <c r="D3" s="41" t="s">
        <v>31</v>
      </c>
      <c r="E3" s="41" t="s">
        <v>32</v>
      </c>
      <c r="F3" s="41" t="s">
        <v>33</v>
      </c>
      <c r="G3" s="41" t="s">
        <v>34</v>
      </c>
      <c r="H3" s="41" t="s">
        <v>35</v>
      </c>
      <c r="I3" s="41" t="s">
        <v>50</v>
      </c>
      <c r="J3" s="41" t="s">
        <v>51</v>
      </c>
      <c r="K3" s="41" t="s">
        <v>52</v>
      </c>
      <c r="N3" s="2" t="s">
        <v>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27</v>
      </c>
      <c r="T3" s="3" t="s">
        <v>28</v>
      </c>
      <c r="U3" s="1"/>
    </row>
    <row r="4" spans="1:21" x14ac:dyDescent="0.3">
      <c r="A4" s="33" t="s">
        <v>1</v>
      </c>
      <c r="B4" s="40">
        <v>2.2000000000000002</v>
      </c>
      <c r="C4" s="40">
        <v>2.27</v>
      </c>
      <c r="D4" s="40">
        <v>1.41</v>
      </c>
      <c r="E4" s="34">
        <v>1.8</v>
      </c>
      <c r="F4" s="34">
        <v>2.2400000000000002</v>
      </c>
      <c r="G4" s="34">
        <v>2.04</v>
      </c>
      <c r="H4" s="34">
        <v>0.91</v>
      </c>
      <c r="I4" s="34">
        <v>2.23</v>
      </c>
      <c r="J4" s="34">
        <v>0.97</v>
      </c>
      <c r="K4" s="34">
        <v>0.45</v>
      </c>
      <c r="N4" s="4" t="s">
        <v>1</v>
      </c>
      <c r="O4" s="18">
        <v>1.49</v>
      </c>
      <c r="P4" s="19">
        <v>4.3</v>
      </c>
      <c r="Q4" s="20">
        <v>3.51</v>
      </c>
      <c r="R4" s="19">
        <v>2.98</v>
      </c>
      <c r="S4" s="5">
        <v>2.1</v>
      </c>
      <c r="T4" s="6">
        <v>4.5999999999999996</v>
      </c>
      <c r="U4" s="42"/>
    </row>
    <row r="5" spans="1:21" x14ac:dyDescent="0.3">
      <c r="A5" s="33" t="s">
        <v>2</v>
      </c>
      <c r="B5" s="35">
        <v>15</v>
      </c>
      <c r="C5" s="40">
        <v>14</v>
      </c>
      <c r="D5" s="40">
        <v>14</v>
      </c>
      <c r="E5" s="34">
        <v>12.5</v>
      </c>
      <c r="F5" s="34">
        <v>14.1</v>
      </c>
      <c r="G5" s="34">
        <v>16</v>
      </c>
      <c r="H5" s="34">
        <v>13</v>
      </c>
      <c r="I5" s="34">
        <v>15</v>
      </c>
      <c r="J5" s="34">
        <v>11</v>
      </c>
      <c r="K5" s="34">
        <v>14</v>
      </c>
      <c r="N5" s="7" t="s">
        <v>2</v>
      </c>
      <c r="O5" s="21">
        <v>16</v>
      </c>
      <c r="P5" s="22">
        <v>15</v>
      </c>
      <c r="Q5" s="23">
        <v>15.5</v>
      </c>
      <c r="R5" s="22">
        <v>16</v>
      </c>
      <c r="S5" s="8">
        <v>10.7</v>
      </c>
      <c r="T5" s="9">
        <v>16</v>
      </c>
      <c r="U5" s="42"/>
    </row>
    <row r="6" spans="1:21" x14ac:dyDescent="0.3">
      <c r="A6" s="33" t="s">
        <v>3</v>
      </c>
      <c r="B6" s="36">
        <f>B4/B5*10000000</f>
        <v>1466666.6666666667</v>
      </c>
      <c r="C6" s="36">
        <f t="shared" ref="C6:K6" si="0">C4/C5*10000000</f>
        <v>1621428.5714285714</v>
      </c>
      <c r="D6" s="36">
        <f t="shared" si="0"/>
        <v>1007142.8571428572</v>
      </c>
      <c r="E6" s="36">
        <f t="shared" si="0"/>
        <v>1440000.0000000002</v>
      </c>
      <c r="F6" s="36">
        <f t="shared" si="0"/>
        <v>1588652.4822695036</v>
      </c>
      <c r="G6" s="36">
        <f t="shared" si="0"/>
        <v>1275000</v>
      </c>
      <c r="H6" s="36">
        <f t="shared" si="0"/>
        <v>700000.00000000012</v>
      </c>
      <c r="I6" s="36">
        <f t="shared" si="0"/>
        <v>1486666.6666666667</v>
      </c>
      <c r="J6" s="36">
        <f t="shared" si="0"/>
        <v>881818.18181818177</v>
      </c>
      <c r="K6" s="36">
        <f t="shared" si="0"/>
        <v>321428.57142857148</v>
      </c>
      <c r="N6" s="10" t="s">
        <v>3</v>
      </c>
      <c r="O6" s="24">
        <f>O4/O5*10000000</f>
        <v>931250</v>
      </c>
      <c r="P6" s="25">
        <f t="shared" ref="P6:R6" si="1">P4/P5*10000000</f>
        <v>2866666.666666667</v>
      </c>
      <c r="Q6" s="26">
        <f t="shared" si="1"/>
        <v>2264516.1290322579</v>
      </c>
      <c r="R6" s="25">
        <f t="shared" si="1"/>
        <v>1862500</v>
      </c>
      <c r="S6" s="11">
        <f>S4/S5*10000000</f>
        <v>1962616.8224299068</v>
      </c>
      <c r="T6" s="12">
        <f>T4/T5*10000000</f>
        <v>2875000</v>
      </c>
      <c r="U6" s="42"/>
    </row>
    <row r="7" spans="1:21" x14ac:dyDescent="0.3">
      <c r="N7" s="13"/>
      <c r="O7" s="13"/>
      <c r="P7" s="13"/>
      <c r="Q7" s="13"/>
      <c r="R7" s="13"/>
      <c r="S7" s="13"/>
      <c r="T7" s="13"/>
      <c r="U7" s="1"/>
    </row>
    <row r="8" spans="1:21" x14ac:dyDescent="0.3">
      <c r="A8" s="37" t="s">
        <v>53</v>
      </c>
      <c r="B8" s="41" t="s">
        <v>29</v>
      </c>
      <c r="C8" s="41" t="s">
        <v>30</v>
      </c>
      <c r="D8" s="41" t="s">
        <v>31</v>
      </c>
      <c r="E8" s="41" t="s">
        <v>32</v>
      </c>
      <c r="F8" s="41" t="s">
        <v>33</v>
      </c>
      <c r="G8" s="41" t="s">
        <v>34</v>
      </c>
      <c r="H8" s="41" t="s">
        <v>35</v>
      </c>
      <c r="I8" s="41" t="s">
        <v>50</v>
      </c>
      <c r="J8" s="41" t="s">
        <v>51</v>
      </c>
      <c r="K8" s="41" t="s">
        <v>52</v>
      </c>
      <c r="L8" s="44" t="s">
        <v>66</v>
      </c>
      <c r="N8" s="2" t="s">
        <v>4</v>
      </c>
      <c r="O8" s="3" t="s">
        <v>21</v>
      </c>
      <c r="P8" s="3" t="s">
        <v>22</v>
      </c>
      <c r="Q8" s="3" t="s">
        <v>25</v>
      </c>
      <c r="R8" s="3" t="s">
        <v>26</v>
      </c>
      <c r="S8" s="3" t="s">
        <v>27</v>
      </c>
      <c r="T8" s="3" t="s">
        <v>28</v>
      </c>
      <c r="U8" s="44" t="s">
        <v>66</v>
      </c>
    </row>
    <row r="9" spans="1:21" x14ac:dyDescent="0.3">
      <c r="A9" s="38" t="s">
        <v>36</v>
      </c>
      <c r="B9" s="34">
        <v>70.3</v>
      </c>
      <c r="C9" s="34">
        <v>61.7</v>
      </c>
      <c r="D9" s="34">
        <v>64.5</v>
      </c>
      <c r="E9" s="34">
        <v>87.4</v>
      </c>
      <c r="F9" s="34">
        <v>76.5</v>
      </c>
      <c r="G9" s="34">
        <v>71</v>
      </c>
      <c r="H9" s="34">
        <v>82.3</v>
      </c>
      <c r="I9" s="34">
        <v>50.3</v>
      </c>
      <c r="J9" s="34">
        <v>14.1</v>
      </c>
      <c r="K9" s="34">
        <v>21.7</v>
      </c>
      <c r="L9" s="45">
        <f t="shared" ref="L9:L22" si="2">AVERAGE(B9:K9)</f>
        <v>59.98</v>
      </c>
      <c r="N9" s="7" t="s">
        <v>17</v>
      </c>
      <c r="O9" s="14">
        <v>29.3</v>
      </c>
      <c r="P9" s="15">
        <v>23.6</v>
      </c>
      <c r="Q9" s="14">
        <v>48.2</v>
      </c>
      <c r="R9" s="15">
        <v>41.9</v>
      </c>
      <c r="S9" s="14">
        <v>18.2</v>
      </c>
      <c r="T9" s="15">
        <v>53.3</v>
      </c>
      <c r="U9" s="45">
        <f t="shared" ref="U9:U10" si="3">AVERAGE(O9:T9)</f>
        <v>35.75</v>
      </c>
    </row>
    <row r="10" spans="1:21" x14ac:dyDescent="0.3">
      <c r="A10" s="38" t="s">
        <v>37</v>
      </c>
      <c r="B10" s="34">
        <v>54.8</v>
      </c>
      <c r="C10" s="34">
        <v>55.6</v>
      </c>
      <c r="D10" s="34">
        <v>48.2</v>
      </c>
      <c r="E10" s="34">
        <v>23.7</v>
      </c>
      <c r="F10" s="34">
        <v>23.7</v>
      </c>
      <c r="G10" s="34">
        <v>47.3</v>
      </c>
      <c r="H10" s="34">
        <v>30.2</v>
      </c>
      <c r="I10" s="34">
        <v>66.400000000000006</v>
      </c>
      <c r="J10" s="34">
        <v>53.2</v>
      </c>
      <c r="K10" s="34">
        <v>42</v>
      </c>
      <c r="L10" s="45">
        <f t="shared" si="2"/>
        <v>44.51</v>
      </c>
      <c r="N10" s="7" t="s">
        <v>16</v>
      </c>
      <c r="O10" s="14">
        <v>1.78</v>
      </c>
      <c r="P10" s="15">
        <v>0.37</v>
      </c>
      <c r="Q10" s="14">
        <v>2.62</v>
      </c>
      <c r="R10" s="15">
        <v>0.99</v>
      </c>
      <c r="S10" s="14">
        <v>0.57999999999999996</v>
      </c>
      <c r="T10" s="15">
        <v>1.2</v>
      </c>
      <c r="U10" s="45">
        <f t="shared" si="3"/>
        <v>1.2566666666666666</v>
      </c>
    </row>
    <row r="11" spans="1:21" x14ac:dyDescent="0.3">
      <c r="A11" s="38" t="s">
        <v>38</v>
      </c>
      <c r="B11" s="34">
        <v>41.6</v>
      </c>
      <c r="C11" s="34">
        <v>38.799999999999997</v>
      </c>
      <c r="D11" s="34">
        <v>46.1</v>
      </c>
      <c r="E11" s="34">
        <v>69.599999999999994</v>
      </c>
      <c r="F11" s="34">
        <v>70.400000000000006</v>
      </c>
      <c r="G11" s="34">
        <v>45.8</v>
      </c>
      <c r="H11" s="34">
        <v>65.900000000000006</v>
      </c>
      <c r="I11" s="34">
        <v>30.6</v>
      </c>
      <c r="J11" s="34">
        <v>45.4</v>
      </c>
      <c r="K11" s="34">
        <v>49</v>
      </c>
      <c r="L11" s="45">
        <f t="shared" si="2"/>
        <v>50.320000000000007</v>
      </c>
      <c r="N11" s="7"/>
      <c r="O11" s="27"/>
      <c r="P11" s="27"/>
      <c r="Q11" s="27"/>
      <c r="R11" s="28"/>
      <c r="S11" s="14"/>
      <c r="T11" s="15"/>
      <c r="U11" s="45"/>
    </row>
    <row r="12" spans="1:21" x14ac:dyDescent="0.3">
      <c r="A12" s="38" t="s">
        <v>39</v>
      </c>
      <c r="B12" s="34">
        <v>30.9</v>
      </c>
      <c r="C12" s="34">
        <v>17.899999999999999</v>
      </c>
      <c r="D12" s="34">
        <v>25.8</v>
      </c>
      <c r="E12" s="34">
        <v>5.32</v>
      </c>
      <c r="F12" s="34">
        <v>16.600000000000001</v>
      </c>
      <c r="G12" s="34">
        <v>9.5500000000000007</v>
      </c>
      <c r="H12" s="34">
        <v>3.26</v>
      </c>
      <c r="I12" s="34">
        <v>42.9</v>
      </c>
      <c r="J12" s="34">
        <v>1.1200000000000001</v>
      </c>
      <c r="K12" s="34">
        <v>37.299999999999997</v>
      </c>
      <c r="L12" s="49">
        <f t="shared" si="2"/>
        <v>19.064999999999998</v>
      </c>
      <c r="N12" s="7" t="s">
        <v>5</v>
      </c>
      <c r="O12" s="27">
        <v>0.92</v>
      </c>
      <c r="P12" s="27">
        <v>4.41</v>
      </c>
      <c r="Q12" s="27">
        <v>12.6</v>
      </c>
      <c r="R12" s="28">
        <v>6.39</v>
      </c>
      <c r="S12" s="14">
        <v>2.59</v>
      </c>
      <c r="T12" s="15">
        <v>2.82</v>
      </c>
      <c r="U12" s="49">
        <f t="shared" ref="U12:U24" si="4">AVERAGE(O12:T12)</f>
        <v>4.9550000000000001</v>
      </c>
    </row>
    <row r="13" spans="1:21" x14ac:dyDescent="0.3">
      <c r="A13" s="38" t="s">
        <v>40</v>
      </c>
      <c r="B13" s="34">
        <v>1.2</v>
      </c>
      <c r="C13" s="34">
        <v>2.63</v>
      </c>
      <c r="D13" s="34">
        <v>1.46</v>
      </c>
      <c r="E13" s="34">
        <v>0.52</v>
      </c>
      <c r="F13" s="34">
        <v>0.87</v>
      </c>
      <c r="G13" s="34">
        <v>1.69</v>
      </c>
      <c r="H13" s="34">
        <v>2.5299999999999998</v>
      </c>
      <c r="I13" s="34">
        <v>0.86</v>
      </c>
      <c r="J13" s="34">
        <v>2.6</v>
      </c>
      <c r="K13" s="34">
        <v>1.37</v>
      </c>
      <c r="L13" s="45">
        <f t="shared" si="2"/>
        <v>1.573</v>
      </c>
      <c r="N13" s="7" t="s">
        <v>6</v>
      </c>
      <c r="O13" s="27">
        <v>1</v>
      </c>
      <c r="P13" s="27">
        <v>1.44</v>
      </c>
      <c r="Q13" s="27">
        <v>1.8</v>
      </c>
      <c r="R13" s="28">
        <v>1.89</v>
      </c>
      <c r="S13" s="14">
        <v>0.2</v>
      </c>
      <c r="T13" s="15">
        <v>0.54</v>
      </c>
      <c r="U13" s="45">
        <f t="shared" si="4"/>
        <v>1.145</v>
      </c>
    </row>
    <row r="14" spans="1:21" x14ac:dyDescent="0.3">
      <c r="A14" s="38" t="s">
        <v>41</v>
      </c>
      <c r="B14" s="34">
        <v>5.77</v>
      </c>
      <c r="C14" s="34">
        <v>1.62</v>
      </c>
      <c r="D14" s="34">
        <v>1.25</v>
      </c>
      <c r="E14" s="34">
        <v>0.65</v>
      </c>
      <c r="F14" s="34">
        <v>0.51</v>
      </c>
      <c r="G14" s="34">
        <v>1.03</v>
      </c>
      <c r="H14" s="34">
        <v>0.52</v>
      </c>
      <c r="I14" s="34">
        <v>3.68</v>
      </c>
      <c r="J14" s="34">
        <v>0.1</v>
      </c>
      <c r="K14" s="34">
        <v>1.03</v>
      </c>
      <c r="L14" s="49">
        <f t="shared" si="2"/>
        <v>1.6160000000000001</v>
      </c>
      <c r="N14" s="7" t="s">
        <v>7</v>
      </c>
      <c r="O14" s="27">
        <v>0.12</v>
      </c>
      <c r="P14" s="27">
        <v>0.27</v>
      </c>
      <c r="Q14" s="27">
        <v>0.46</v>
      </c>
      <c r="R14" s="28">
        <v>0.55000000000000004</v>
      </c>
      <c r="S14" s="14">
        <v>3.2000000000000001E-2</v>
      </c>
      <c r="T14" s="15">
        <v>0.14000000000000001</v>
      </c>
      <c r="U14" s="49">
        <f t="shared" si="4"/>
        <v>0.26200000000000001</v>
      </c>
    </row>
    <row r="15" spans="1:21" x14ac:dyDescent="0.3">
      <c r="A15" s="38" t="s">
        <v>42</v>
      </c>
      <c r="B15" s="34">
        <v>4.38</v>
      </c>
      <c r="C15" s="34">
        <v>0.96</v>
      </c>
      <c r="D15" s="34">
        <v>0.1</v>
      </c>
      <c r="E15" s="34">
        <v>1.83</v>
      </c>
      <c r="F15" s="34">
        <v>1.07</v>
      </c>
      <c r="G15" s="34">
        <v>0</v>
      </c>
      <c r="H15" s="34">
        <v>0.74</v>
      </c>
      <c r="I15" s="34">
        <v>3.15</v>
      </c>
      <c r="J15" s="34">
        <v>2.71</v>
      </c>
      <c r="K15" s="34">
        <v>8.4600000000000009</v>
      </c>
      <c r="L15" s="45">
        <f t="shared" si="2"/>
        <v>2.3400000000000003</v>
      </c>
      <c r="N15" s="7" t="s">
        <v>8</v>
      </c>
      <c r="O15" s="27">
        <v>1.46</v>
      </c>
      <c r="P15" s="27">
        <v>0.78</v>
      </c>
      <c r="Q15" s="27">
        <v>2.25</v>
      </c>
      <c r="R15" s="28">
        <v>1.53</v>
      </c>
      <c r="S15" s="14">
        <v>0</v>
      </c>
      <c r="T15" s="15">
        <v>1.07</v>
      </c>
      <c r="U15" s="45">
        <f t="shared" si="4"/>
        <v>1.1816666666666669</v>
      </c>
    </row>
    <row r="16" spans="1:21" x14ac:dyDescent="0.3">
      <c r="A16" s="38" t="s">
        <v>43</v>
      </c>
      <c r="B16" s="34"/>
      <c r="C16" s="34">
        <v>0.28000000000000003</v>
      </c>
      <c r="D16" s="34">
        <v>2.63</v>
      </c>
      <c r="E16" s="34">
        <v>0.41</v>
      </c>
      <c r="F16" s="34">
        <v>4.46</v>
      </c>
      <c r="G16" s="34">
        <v>6.27</v>
      </c>
      <c r="H16" s="34">
        <v>12.9</v>
      </c>
      <c r="I16" s="34"/>
      <c r="J16" s="34"/>
      <c r="K16" s="34">
        <v>5.71</v>
      </c>
      <c r="L16" s="45">
        <f t="shared" si="2"/>
        <v>4.6657142857142864</v>
      </c>
      <c r="N16" s="7" t="s">
        <v>20</v>
      </c>
      <c r="O16" s="27">
        <v>1.35</v>
      </c>
      <c r="P16" s="27">
        <v>0.71</v>
      </c>
      <c r="Q16" s="27">
        <v>1.58</v>
      </c>
      <c r="R16" s="28">
        <v>2.38</v>
      </c>
      <c r="S16" s="14">
        <v>1.53</v>
      </c>
      <c r="T16" s="15">
        <v>3.03</v>
      </c>
      <c r="U16" s="45">
        <f t="shared" si="4"/>
        <v>1.7633333333333334</v>
      </c>
    </row>
    <row r="17" spans="1:21" x14ac:dyDescent="0.3">
      <c r="A17" s="39" t="s">
        <v>48</v>
      </c>
      <c r="B17" s="34">
        <v>2.58</v>
      </c>
      <c r="C17" s="34">
        <v>9.06</v>
      </c>
      <c r="D17" s="34">
        <v>2.61</v>
      </c>
      <c r="E17" s="34">
        <v>16.899999999999999</v>
      </c>
      <c r="F17" s="34">
        <v>6.7</v>
      </c>
      <c r="G17" s="34">
        <v>25</v>
      </c>
      <c r="H17" s="34">
        <v>2.5099999999999998</v>
      </c>
      <c r="I17" s="34">
        <v>24.1</v>
      </c>
      <c r="J17" s="34">
        <v>12.2</v>
      </c>
      <c r="K17" s="34">
        <v>21.9</v>
      </c>
      <c r="L17" s="45">
        <f t="shared" si="2"/>
        <v>12.356</v>
      </c>
      <c r="N17" s="7" t="s">
        <v>9</v>
      </c>
      <c r="O17" s="27">
        <v>20.87</v>
      </c>
      <c r="P17" s="27">
        <v>10.029999999999999</v>
      </c>
      <c r="Q17" s="27">
        <v>0.82</v>
      </c>
      <c r="R17" s="28">
        <v>6.47</v>
      </c>
      <c r="S17" s="14">
        <v>16.600000000000001</v>
      </c>
      <c r="T17" s="15">
        <v>10.9</v>
      </c>
      <c r="U17" s="45">
        <f t="shared" si="4"/>
        <v>10.948333333333332</v>
      </c>
    </row>
    <row r="18" spans="1:21" x14ac:dyDescent="0.3">
      <c r="A18" s="38" t="s">
        <v>44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45"/>
      <c r="N18" s="7" t="s">
        <v>10</v>
      </c>
      <c r="O18" s="27">
        <v>0</v>
      </c>
      <c r="P18" s="27">
        <v>9.6000000000000002E-2</v>
      </c>
      <c r="Q18" s="27">
        <v>0.13</v>
      </c>
      <c r="R18" s="28">
        <v>0</v>
      </c>
      <c r="S18" s="14">
        <v>1.7000000000000001E-2</v>
      </c>
      <c r="T18" s="15">
        <v>1.9E-2</v>
      </c>
      <c r="U18" s="45">
        <f t="shared" si="4"/>
        <v>4.3666666666666666E-2</v>
      </c>
    </row>
    <row r="19" spans="1:21" x14ac:dyDescent="0.3">
      <c r="A19" s="38" t="s">
        <v>45</v>
      </c>
      <c r="B19" s="34"/>
      <c r="C19" s="34">
        <v>0.1</v>
      </c>
      <c r="D19" s="34">
        <v>8.8800000000000008</v>
      </c>
      <c r="E19" s="34">
        <v>0.8</v>
      </c>
      <c r="F19" s="34">
        <v>0</v>
      </c>
      <c r="G19" s="34">
        <v>1.1200000000000001</v>
      </c>
      <c r="H19" s="34">
        <v>0</v>
      </c>
      <c r="I19" s="34"/>
      <c r="J19" s="34"/>
      <c r="K19" s="34">
        <v>0.8</v>
      </c>
      <c r="L19" s="45">
        <f t="shared" si="2"/>
        <v>1.6714285714285719</v>
      </c>
      <c r="N19" s="7" t="s">
        <v>11</v>
      </c>
      <c r="O19" s="27">
        <v>0.33</v>
      </c>
      <c r="P19" s="27">
        <v>0.16</v>
      </c>
      <c r="Q19" s="27">
        <v>6.5000000000000002E-2</v>
      </c>
      <c r="R19" s="28">
        <v>0.16</v>
      </c>
      <c r="S19" s="14">
        <v>0.25</v>
      </c>
      <c r="T19" s="15">
        <v>9.5000000000000001E-2</v>
      </c>
      <c r="U19" s="45">
        <f t="shared" si="4"/>
        <v>0.17666666666666667</v>
      </c>
    </row>
    <row r="20" spans="1:21" x14ac:dyDescent="0.3">
      <c r="A20" s="38" t="s">
        <v>88</v>
      </c>
      <c r="B20" s="34"/>
      <c r="C20" s="34">
        <v>98.6</v>
      </c>
      <c r="D20" s="34">
        <v>39</v>
      </c>
      <c r="E20" s="34">
        <v>99.6</v>
      </c>
      <c r="F20" s="34">
        <v>97.3</v>
      </c>
      <c r="G20" s="34">
        <v>98</v>
      </c>
      <c r="H20" s="34">
        <v>98.1</v>
      </c>
      <c r="I20" s="34"/>
      <c r="J20" s="34"/>
      <c r="K20" s="34">
        <v>94.3</v>
      </c>
      <c r="L20" s="49">
        <f t="shared" si="2"/>
        <v>89.271428571428572</v>
      </c>
      <c r="N20" s="7" t="s">
        <v>12</v>
      </c>
      <c r="O20" s="27">
        <v>17.399999999999999</v>
      </c>
      <c r="P20" s="27">
        <v>9.5299999999999994</v>
      </c>
      <c r="Q20" s="27">
        <v>11.8</v>
      </c>
      <c r="R20" s="28">
        <v>4.4400000000000004</v>
      </c>
      <c r="S20" s="14">
        <v>18</v>
      </c>
      <c r="T20" s="15">
        <v>10.4</v>
      </c>
      <c r="U20" s="49">
        <f t="shared" si="4"/>
        <v>11.928333333333335</v>
      </c>
    </row>
    <row r="21" spans="1:21" x14ac:dyDescent="0.3">
      <c r="A21" s="38" t="s">
        <v>46</v>
      </c>
      <c r="B21" s="34">
        <v>7.87</v>
      </c>
      <c r="C21" s="34">
        <v>2.83</v>
      </c>
      <c r="D21" s="34">
        <v>3.09</v>
      </c>
      <c r="E21" s="34">
        <v>0.34</v>
      </c>
      <c r="F21" s="34">
        <v>4.32</v>
      </c>
      <c r="G21" s="34">
        <v>1.87</v>
      </c>
      <c r="H21" s="34">
        <v>0.84</v>
      </c>
      <c r="I21" s="34">
        <v>1.53</v>
      </c>
      <c r="J21" s="34">
        <v>0.75</v>
      </c>
      <c r="K21" s="34">
        <v>6.6</v>
      </c>
      <c r="L21" s="45">
        <f t="shared" si="2"/>
        <v>3.004</v>
      </c>
      <c r="N21" s="7" t="s">
        <v>13</v>
      </c>
      <c r="O21" s="27">
        <v>4.3899999999999997</v>
      </c>
      <c r="P21" s="27">
        <v>18.399999999999999</v>
      </c>
      <c r="Q21" s="27">
        <v>17.899999999999999</v>
      </c>
      <c r="R21" s="28">
        <v>18.7</v>
      </c>
      <c r="S21" s="14">
        <v>9.18</v>
      </c>
      <c r="T21" s="15">
        <v>12.8</v>
      </c>
      <c r="U21" s="45">
        <f t="shared" si="4"/>
        <v>13.561666666666666</v>
      </c>
    </row>
    <row r="22" spans="1:21" x14ac:dyDescent="0.3">
      <c r="A22" s="38" t="s">
        <v>47</v>
      </c>
      <c r="B22" s="34">
        <v>7.0000000000000007E-2</v>
      </c>
      <c r="C22" s="34">
        <v>0</v>
      </c>
      <c r="D22" s="34">
        <v>0.04</v>
      </c>
      <c r="E22" s="34">
        <v>0</v>
      </c>
      <c r="F22" s="34">
        <v>0.09</v>
      </c>
      <c r="G22" s="34">
        <v>1.29</v>
      </c>
      <c r="H22" s="34">
        <v>0.17</v>
      </c>
      <c r="I22" s="34">
        <v>1.72</v>
      </c>
      <c r="J22" s="34">
        <v>0.47</v>
      </c>
      <c r="K22" s="34">
        <v>0.73</v>
      </c>
      <c r="L22" s="45">
        <f t="shared" si="2"/>
        <v>0.45800000000000002</v>
      </c>
      <c r="N22" s="10" t="s">
        <v>14</v>
      </c>
      <c r="O22" s="29">
        <v>2.48</v>
      </c>
      <c r="P22" s="29">
        <v>0.81</v>
      </c>
      <c r="Q22" s="29">
        <v>0.27</v>
      </c>
      <c r="R22" s="30">
        <v>0.4</v>
      </c>
      <c r="S22" s="16">
        <v>0.15</v>
      </c>
      <c r="T22" s="17">
        <v>8.7999999999999995E-2</v>
      </c>
      <c r="U22" s="45">
        <f t="shared" si="4"/>
        <v>0.69966666666666677</v>
      </c>
    </row>
    <row r="23" spans="1:21" x14ac:dyDescent="0.3">
      <c r="N23" s="7" t="s">
        <v>18</v>
      </c>
      <c r="O23" s="31">
        <v>81.2</v>
      </c>
      <c r="P23" s="31">
        <v>95.1</v>
      </c>
      <c r="Q23" s="31">
        <v>94.1</v>
      </c>
      <c r="R23" s="32">
        <v>83.8</v>
      </c>
      <c r="S23" s="14">
        <v>62.4</v>
      </c>
      <c r="T23" s="15">
        <v>33.200000000000003</v>
      </c>
      <c r="U23" s="45">
        <f t="shared" si="4"/>
        <v>74.966666666666654</v>
      </c>
    </row>
    <row r="24" spans="1:21" x14ac:dyDescent="0.3">
      <c r="N24" s="10" t="s">
        <v>19</v>
      </c>
      <c r="O24" s="29">
        <v>42.4</v>
      </c>
      <c r="P24" s="29">
        <v>83.9</v>
      </c>
      <c r="Q24" s="29">
        <v>74.5</v>
      </c>
      <c r="R24" s="30">
        <v>38.5</v>
      </c>
      <c r="S24" s="16">
        <v>14.6</v>
      </c>
      <c r="T24" s="17">
        <v>7.58</v>
      </c>
      <c r="U24" s="45">
        <f t="shared" si="4"/>
        <v>43.580000000000005</v>
      </c>
    </row>
    <row r="26" spans="1:21" x14ac:dyDescent="0.3">
      <c r="A26" s="50" t="s">
        <v>85</v>
      </c>
      <c r="B26" s="52" t="s">
        <v>86</v>
      </c>
      <c r="C26" s="52"/>
    </row>
    <row r="27" spans="1:21" x14ac:dyDescent="0.3">
      <c r="A27" s="50" t="s">
        <v>87</v>
      </c>
      <c r="B27" s="52" t="s">
        <v>86</v>
      </c>
      <c r="C27" s="52"/>
    </row>
    <row r="28" spans="1:21" x14ac:dyDescent="0.3">
      <c r="A28" s="51" t="s">
        <v>89</v>
      </c>
      <c r="B28" s="53" t="s">
        <v>86</v>
      </c>
      <c r="C28" s="53"/>
    </row>
    <row r="29" spans="1:21" x14ac:dyDescent="0.3">
      <c r="A29" s="52" t="s">
        <v>90</v>
      </c>
      <c r="B29" s="52"/>
      <c r="C29" s="52"/>
      <c r="D29" s="52"/>
      <c r="E29" s="52"/>
      <c r="F29" s="52"/>
      <c r="G29" s="52"/>
      <c r="H29" s="52"/>
    </row>
  </sheetData>
  <mergeCells count="4">
    <mergeCell ref="B26:C26"/>
    <mergeCell ref="B27:C27"/>
    <mergeCell ref="B28:C28"/>
    <mergeCell ref="A29:H2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opLeftCell="A2" workbookViewId="0">
      <selection activeCell="H27" sqref="H27"/>
    </sheetView>
  </sheetViews>
  <sheetFormatPr defaultRowHeight="16.5" x14ac:dyDescent="0.3"/>
  <cols>
    <col min="1" max="1" width="15.375" customWidth="1"/>
    <col min="11" max="11" width="11" bestFit="1" customWidth="1"/>
    <col min="13" max="13" width="19.625" customWidth="1"/>
    <col min="14" max="16" width="14.125" customWidth="1"/>
    <col min="17" max="17" width="12.625" customWidth="1"/>
    <col min="18" max="19" width="14.125" bestFit="1" customWidth="1"/>
  </cols>
  <sheetData>
    <row r="1" spans="1:20" x14ac:dyDescent="0.3">
      <c r="A1" t="s">
        <v>54</v>
      </c>
      <c r="M1" s="13" t="s">
        <v>15</v>
      </c>
      <c r="N1" s="1"/>
      <c r="O1" s="1"/>
      <c r="P1" s="1"/>
      <c r="Q1" s="1"/>
      <c r="R1" s="1"/>
      <c r="S1" s="1"/>
      <c r="T1" s="1"/>
    </row>
    <row r="2" spans="1:20" x14ac:dyDescent="0.3">
      <c r="M2" s="1"/>
      <c r="N2" s="1"/>
      <c r="O2" s="1"/>
      <c r="P2" s="1"/>
      <c r="Q2" s="1"/>
      <c r="R2" s="1"/>
      <c r="S2" s="1"/>
      <c r="T2" s="1"/>
    </row>
    <row r="3" spans="1:20" x14ac:dyDescent="0.3">
      <c r="A3" s="2" t="s">
        <v>0</v>
      </c>
      <c r="B3" s="3" t="s">
        <v>55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M3" s="2" t="s">
        <v>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27</v>
      </c>
      <c r="S3" s="3" t="s">
        <v>28</v>
      </c>
      <c r="T3" s="1"/>
    </row>
    <row r="4" spans="1:20" x14ac:dyDescent="0.3">
      <c r="A4" s="33" t="s">
        <v>1</v>
      </c>
      <c r="B4" s="40">
        <v>3.48</v>
      </c>
      <c r="C4" s="40">
        <v>3.68</v>
      </c>
      <c r="D4" s="40">
        <v>2.6</v>
      </c>
      <c r="E4" s="34">
        <v>8.33</v>
      </c>
      <c r="F4" s="34">
        <v>4.03</v>
      </c>
      <c r="G4" s="34">
        <v>5.2</v>
      </c>
      <c r="H4" s="34">
        <v>2.8</v>
      </c>
      <c r="I4" s="34">
        <v>4.17</v>
      </c>
      <c r="J4" s="34">
        <v>3.97</v>
      </c>
      <c r="M4" s="4" t="s">
        <v>1</v>
      </c>
      <c r="N4" s="18">
        <v>1.49</v>
      </c>
      <c r="O4" s="19">
        <v>4.3</v>
      </c>
      <c r="P4" s="20">
        <v>3.51</v>
      </c>
      <c r="Q4" s="19">
        <v>2.98</v>
      </c>
      <c r="R4" s="5">
        <v>2.1</v>
      </c>
      <c r="S4" s="6">
        <v>4.5999999999999996</v>
      </c>
      <c r="T4" s="42"/>
    </row>
    <row r="5" spans="1:20" x14ac:dyDescent="0.3">
      <c r="A5" s="33" t="s">
        <v>2</v>
      </c>
      <c r="B5" s="35" t="s">
        <v>56</v>
      </c>
      <c r="C5" s="40">
        <v>20</v>
      </c>
      <c r="D5" s="40">
        <v>20</v>
      </c>
      <c r="E5" s="34">
        <v>18.7</v>
      </c>
      <c r="F5" s="34">
        <v>18</v>
      </c>
      <c r="G5" s="34">
        <v>18.899999999999999</v>
      </c>
      <c r="H5" s="34">
        <v>18</v>
      </c>
      <c r="I5" s="34">
        <v>19.3</v>
      </c>
      <c r="J5" s="34">
        <v>19.100000000000001</v>
      </c>
      <c r="M5" s="7" t="s">
        <v>2</v>
      </c>
      <c r="N5" s="21">
        <v>16</v>
      </c>
      <c r="O5" s="22">
        <v>15</v>
      </c>
      <c r="P5" s="23">
        <v>15.5</v>
      </c>
      <c r="Q5" s="22">
        <v>16</v>
      </c>
      <c r="R5" s="8">
        <v>10.7</v>
      </c>
      <c r="S5" s="9">
        <v>16</v>
      </c>
      <c r="T5" s="42"/>
    </row>
    <row r="6" spans="1:20" x14ac:dyDescent="0.3">
      <c r="A6" s="33" t="s">
        <v>3</v>
      </c>
      <c r="B6" s="36" t="e">
        <f>B4/B5*10000000</f>
        <v>#VALUE!</v>
      </c>
      <c r="C6" s="36">
        <f t="shared" ref="C6:H6" si="0">C4/C5*10000000</f>
        <v>1840000</v>
      </c>
      <c r="D6" s="36">
        <f t="shared" si="0"/>
        <v>1300000</v>
      </c>
      <c r="E6" s="36">
        <f t="shared" si="0"/>
        <v>4454545.4545454551</v>
      </c>
      <c r="F6" s="36">
        <f t="shared" si="0"/>
        <v>2238888.888888889</v>
      </c>
      <c r="G6" s="36">
        <f t="shared" si="0"/>
        <v>2751322.7513227519</v>
      </c>
      <c r="H6" s="36">
        <f t="shared" si="0"/>
        <v>1555555.5555555555</v>
      </c>
      <c r="I6" s="36">
        <f t="shared" ref="I6" si="1">I4/I5*10000000</f>
        <v>2160621.761658031</v>
      </c>
      <c r="J6" s="36">
        <f t="shared" ref="J6" si="2">J4/J5*10000000</f>
        <v>2078534.0314136124</v>
      </c>
      <c r="M6" s="10" t="s">
        <v>3</v>
      </c>
      <c r="N6" s="24">
        <f>N4/N5*10000000</f>
        <v>931250</v>
      </c>
      <c r="O6" s="25">
        <f t="shared" ref="O6:Q6" si="3">O4/O5*10000000</f>
        <v>2866666.666666667</v>
      </c>
      <c r="P6" s="26">
        <f t="shared" si="3"/>
        <v>2264516.1290322579</v>
      </c>
      <c r="Q6" s="25">
        <f t="shared" si="3"/>
        <v>1862500</v>
      </c>
      <c r="R6" s="11">
        <f>R4/R5*10000000</f>
        <v>1962616.8224299068</v>
      </c>
      <c r="S6" s="12">
        <f>S4/S5*10000000</f>
        <v>2875000</v>
      </c>
      <c r="T6" s="42"/>
    </row>
    <row r="7" spans="1:20" x14ac:dyDescent="0.3">
      <c r="M7" s="13"/>
      <c r="N7" s="13"/>
      <c r="O7" s="13"/>
      <c r="P7" s="13"/>
      <c r="Q7" s="13"/>
      <c r="R7" s="13"/>
      <c r="S7" s="13"/>
      <c r="T7" s="1"/>
    </row>
    <row r="8" spans="1:20" x14ac:dyDescent="0.3">
      <c r="A8" s="37" t="s">
        <v>53</v>
      </c>
      <c r="B8" s="3" t="s">
        <v>55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  <c r="J8" s="3" t="s">
        <v>64</v>
      </c>
      <c r="K8" s="44" t="s">
        <v>66</v>
      </c>
      <c r="M8" s="2" t="s">
        <v>4</v>
      </c>
      <c r="N8" s="3" t="s">
        <v>21</v>
      </c>
      <c r="O8" s="3" t="s">
        <v>22</v>
      </c>
      <c r="P8" s="3" t="s">
        <v>25</v>
      </c>
      <c r="Q8" s="3" t="s">
        <v>26</v>
      </c>
      <c r="R8" s="3" t="s">
        <v>27</v>
      </c>
      <c r="S8" s="3" t="s">
        <v>28</v>
      </c>
      <c r="T8" s="44" t="s">
        <v>66</v>
      </c>
    </row>
    <row r="9" spans="1:20" x14ac:dyDescent="0.3">
      <c r="A9" s="38" t="s">
        <v>36</v>
      </c>
      <c r="B9" s="34">
        <v>48.5</v>
      </c>
      <c r="C9" s="34">
        <v>49.4</v>
      </c>
      <c r="D9" s="34">
        <v>36.6</v>
      </c>
      <c r="E9" s="34">
        <v>33.9</v>
      </c>
      <c r="F9" s="34">
        <v>38.4</v>
      </c>
      <c r="G9" s="34">
        <v>55.2</v>
      </c>
      <c r="H9" s="34">
        <v>66.599999999999994</v>
      </c>
      <c r="I9" s="34">
        <v>52.9</v>
      </c>
      <c r="J9" s="34">
        <v>51.7</v>
      </c>
      <c r="K9" s="45">
        <f t="shared" ref="K9:K22" si="4">AVERAGE(B9:J9)</f>
        <v>48.133333333333333</v>
      </c>
      <c r="M9" s="7" t="s">
        <v>17</v>
      </c>
      <c r="N9" s="14">
        <v>29.3</v>
      </c>
      <c r="O9" s="15">
        <v>23.6</v>
      </c>
      <c r="P9" s="14">
        <v>48.2</v>
      </c>
      <c r="Q9" s="15">
        <v>41.9</v>
      </c>
      <c r="R9" s="14">
        <v>18.2</v>
      </c>
      <c r="S9" s="15">
        <v>53.3</v>
      </c>
      <c r="T9" s="45">
        <f t="shared" ref="T9:T10" si="5">AVERAGE(N9:S9)</f>
        <v>35.75</v>
      </c>
    </row>
    <row r="10" spans="1:20" x14ac:dyDescent="0.3">
      <c r="A10" s="38" t="s">
        <v>37</v>
      </c>
      <c r="B10" s="34">
        <v>55.4</v>
      </c>
      <c r="C10" s="34">
        <v>43.1</v>
      </c>
      <c r="D10" s="34">
        <v>60</v>
      </c>
      <c r="E10" s="34">
        <v>60.2</v>
      </c>
      <c r="F10" s="34">
        <v>42</v>
      </c>
      <c r="G10" s="34">
        <v>46.9</v>
      </c>
      <c r="H10" s="34">
        <v>40.799999999999997</v>
      </c>
      <c r="I10" s="34">
        <v>26.1</v>
      </c>
      <c r="J10" s="34">
        <v>70.7</v>
      </c>
      <c r="K10" s="45">
        <f t="shared" si="4"/>
        <v>49.466666666666669</v>
      </c>
      <c r="M10" s="7" t="s">
        <v>16</v>
      </c>
      <c r="N10" s="14">
        <v>1.78</v>
      </c>
      <c r="O10" s="15">
        <v>0.37</v>
      </c>
      <c r="P10" s="14">
        <v>2.62</v>
      </c>
      <c r="Q10" s="15">
        <v>0.99</v>
      </c>
      <c r="R10" s="14">
        <v>0.57999999999999996</v>
      </c>
      <c r="S10" s="15">
        <v>1.2</v>
      </c>
      <c r="T10" s="45">
        <f t="shared" si="5"/>
        <v>1.2566666666666666</v>
      </c>
    </row>
    <row r="11" spans="1:20" x14ac:dyDescent="0.3">
      <c r="A11" s="38" t="s">
        <v>38</v>
      </c>
      <c r="B11" s="34">
        <v>30</v>
      </c>
      <c r="C11" s="34">
        <v>48.4</v>
      </c>
      <c r="D11" s="34">
        <v>33.799999999999997</v>
      </c>
      <c r="E11" s="34">
        <v>24</v>
      </c>
      <c r="F11" s="34">
        <v>51.3</v>
      </c>
      <c r="G11" s="34">
        <v>42.3</v>
      </c>
      <c r="H11" s="34">
        <v>51.6</v>
      </c>
      <c r="I11" s="34">
        <v>61.7</v>
      </c>
      <c r="J11" s="34">
        <v>24.2</v>
      </c>
      <c r="K11" s="45">
        <f t="shared" si="4"/>
        <v>40.81111111111111</v>
      </c>
      <c r="M11" s="7"/>
      <c r="N11" s="27"/>
      <c r="O11" s="27"/>
      <c r="P11" s="27"/>
      <c r="Q11" s="28"/>
      <c r="R11" s="14"/>
      <c r="S11" s="15"/>
      <c r="T11" s="45"/>
    </row>
    <row r="12" spans="1:20" x14ac:dyDescent="0.3">
      <c r="A12" s="38" t="s">
        <v>39</v>
      </c>
      <c r="B12" s="34">
        <v>27.6</v>
      </c>
      <c r="C12" s="34">
        <v>21.4</v>
      </c>
      <c r="D12" s="34">
        <v>15.1</v>
      </c>
      <c r="E12" s="34">
        <v>15.1</v>
      </c>
      <c r="F12" s="34">
        <v>5.76</v>
      </c>
      <c r="G12" s="34">
        <v>17.100000000000001</v>
      </c>
      <c r="H12" s="34">
        <v>2.97</v>
      </c>
      <c r="I12" s="34">
        <v>2.7</v>
      </c>
      <c r="J12" s="34">
        <v>6.59</v>
      </c>
      <c r="K12" s="49">
        <f t="shared" si="4"/>
        <v>12.702222222222224</v>
      </c>
      <c r="M12" s="7" t="s">
        <v>5</v>
      </c>
      <c r="N12" s="27">
        <v>0.92</v>
      </c>
      <c r="O12" s="27">
        <v>4.41</v>
      </c>
      <c r="P12" s="27">
        <v>12.6</v>
      </c>
      <c r="Q12" s="28">
        <v>6.39</v>
      </c>
      <c r="R12" s="14">
        <v>2.59</v>
      </c>
      <c r="S12" s="15">
        <v>2.82</v>
      </c>
      <c r="T12" s="49">
        <f t="shared" ref="T12:T24" si="6">AVERAGE(N12:S12)</f>
        <v>4.9550000000000001</v>
      </c>
    </row>
    <row r="13" spans="1:20" x14ac:dyDescent="0.3">
      <c r="A13" s="38" t="s">
        <v>40</v>
      </c>
      <c r="B13" s="34">
        <v>1.7</v>
      </c>
      <c r="C13" s="34">
        <v>3.12</v>
      </c>
      <c r="D13" s="34">
        <v>0.97</v>
      </c>
      <c r="E13" s="34">
        <v>1.56</v>
      </c>
      <c r="F13" s="34">
        <v>0.55000000000000004</v>
      </c>
      <c r="G13" s="34">
        <v>1.1299999999999999</v>
      </c>
      <c r="H13" s="34">
        <v>1.8</v>
      </c>
      <c r="I13" s="34">
        <v>0.43</v>
      </c>
      <c r="J13" s="34">
        <v>0.42</v>
      </c>
      <c r="K13" s="45">
        <f t="shared" si="4"/>
        <v>1.2977777777777777</v>
      </c>
      <c r="M13" s="7" t="s">
        <v>6</v>
      </c>
      <c r="N13" s="27">
        <v>1</v>
      </c>
      <c r="O13" s="27">
        <v>1.44</v>
      </c>
      <c r="P13" s="27">
        <v>1.8</v>
      </c>
      <c r="Q13" s="28">
        <v>1.89</v>
      </c>
      <c r="R13" s="14">
        <v>0.2</v>
      </c>
      <c r="S13" s="15">
        <v>0.54</v>
      </c>
      <c r="T13" s="45">
        <f t="shared" si="6"/>
        <v>1.145</v>
      </c>
    </row>
    <row r="14" spans="1:20" x14ac:dyDescent="0.3">
      <c r="A14" s="38" t="s">
        <v>41</v>
      </c>
      <c r="B14" s="34">
        <v>1.41</v>
      </c>
      <c r="C14" s="34">
        <v>1.1000000000000001</v>
      </c>
      <c r="D14" s="34">
        <v>0.71</v>
      </c>
      <c r="E14" s="34">
        <v>12</v>
      </c>
      <c r="F14" s="34">
        <v>0.39</v>
      </c>
      <c r="G14" s="34">
        <v>1.82</v>
      </c>
      <c r="H14" s="34">
        <v>0.16</v>
      </c>
      <c r="I14" s="34">
        <v>0.28000000000000003</v>
      </c>
      <c r="J14" s="34">
        <v>0.54</v>
      </c>
      <c r="K14" s="49">
        <f t="shared" si="4"/>
        <v>2.0455555555555556</v>
      </c>
      <c r="M14" s="7" t="s">
        <v>7</v>
      </c>
      <c r="N14" s="27">
        <v>0.12</v>
      </c>
      <c r="O14" s="27">
        <v>0.27</v>
      </c>
      <c r="P14" s="27">
        <v>0.46</v>
      </c>
      <c r="Q14" s="28">
        <v>0.55000000000000004</v>
      </c>
      <c r="R14" s="14">
        <v>3.2000000000000001E-2</v>
      </c>
      <c r="S14" s="15">
        <v>0.14000000000000001</v>
      </c>
      <c r="T14" s="49">
        <f t="shared" si="6"/>
        <v>0.26200000000000001</v>
      </c>
    </row>
    <row r="15" spans="1:20" x14ac:dyDescent="0.3">
      <c r="A15" s="38" t="s">
        <v>42</v>
      </c>
      <c r="B15" s="34">
        <v>0.64</v>
      </c>
      <c r="C15" s="34">
        <v>1.94</v>
      </c>
      <c r="D15" s="34">
        <v>0.22</v>
      </c>
      <c r="E15" s="34">
        <v>1.21</v>
      </c>
      <c r="F15" s="34">
        <v>0.9</v>
      </c>
      <c r="G15" s="34">
        <v>3.88</v>
      </c>
      <c r="H15" s="34">
        <v>3.93</v>
      </c>
      <c r="I15" s="34">
        <v>0</v>
      </c>
      <c r="J15" s="34">
        <v>2.12</v>
      </c>
      <c r="K15" s="45">
        <f t="shared" si="4"/>
        <v>1.6488888888888888</v>
      </c>
      <c r="M15" s="7" t="s">
        <v>8</v>
      </c>
      <c r="N15" s="27">
        <v>1.46</v>
      </c>
      <c r="O15" s="27">
        <v>0.78</v>
      </c>
      <c r="P15" s="27">
        <v>2.25</v>
      </c>
      <c r="Q15" s="28">
        <v>1.53</v>
      </c>
      <c r="R15" s="14">
        <v>0</v>
      </c>
      <c r="S15" s="15">
        <v>1.07</v>
      </c>
      <c r="T15" s="45">
        <f t="shared" si="6"/>
        <v>1.1816666666666669</v>
      </c>
    </row>
    <row r="16" spans="1:20" ht="30" x14ac:dyDescent="0.3">
      <c r="A16" s="38" t="s">
        <v>43</v>
      </c>
      <c r="B16" s="34">
        <v>5.9</v>
      </c>
      <c r="C16" s="34">
        <v>5.33</v>
      </c>
      <c r="D16" s="34">
        <v>3.52</v>
      </c>
      <c r="E16" s="34">
        <v>2.6</v>
      </c>
      <c r="F16" s="34">
        <v>1.59</v>
      </c>
      <c r="G16" s="34">
        <v>1.77</v>
      </c>
      <c r="H16" s="34">
        <v>2.11</v>
      </c>
      <c r="I16" s="34">
        <v>1.36</v>
      </c>
      <c r="J16" s="34">
        <v>0.37</v>
      </c>
      <c r="K16" s="45">
        <f t="shared" si="4"/>
        <v>2.7277777777777779</v>
      </c>
      <c r="M16" s="7" t="s">
        <v>20</v>
      </c>
      <c r="N16" s="27">
        <v>1.35</v>
      </c>
      <c r="O16" s="27">
        <v>0.71</v>
      </c>
      <c r="P16" s="27">
        <v>1.58</v>
      </c>
      <c r="Q16" s="28">
        <v>2.38</v>
      </c>
      <c r="R16" s="14">
        <v>1.53</v>
      </c>
      <c r="S16" s="15">
        <v>3.03</v>
      </c>
      <c r="T16" s="45">
        <f t="shared" si="6"/>
        <v>1.7633333333333334</v>
      </c>
    </row>
    <row r="17" spans="1:20" x14ac:dyDescent="0.3">
      <c r="A17" s="39" t="s">
        <v>48</v>
      </c>
      <c r="B17" s="34">
        <v>5.58</v>
      </c>
      <c r="C17" s="34">
        <v>9.0500000000000007</v>
      </c>
      <c r="D17" s="34">
        <v>2.88</v>
      </c>
      <c r="E17" s="34">
        <v>7.66</v>
      </c>
      <c r="F17" s="34">
        <v>12.5</v>
      </c>
      <c r="G17" s="34">
        <v>1.78</v>
      </c>
      <c r="H17" s="34">
        <v>12.5</v>
      </c>
      <c r="I17" s="34">
        <v>12.7</v>
      </c>
      <c r="J17" s="34">
        <v>5.12</v>
      </c>
      <c r="K17" s="45">
        <f t="shared" si="4"/>
        <v>7.7522222222222235</v>
      </c>
      <c r="M17" s="7" t="s">
        <v>9</v>
      </c>
      <c r="N17" s="27">
        <v>20.87</v>
      </c>
      <c r="O17" s="27">
        <v>10.029999999999999</v>
      </c>
      <c r="P17" s="27">
        <v>0.82</v>
      </c>
      <c r="Q17" s="28">
        <v>6.47</v>
      </c>
      <c r="R17" s="14">
        <v>16.600000000000001</v>
      </c>
      <c r="S17" s="15">
        <v>10.9</v>
      </c>
      <c r="T17" s="45">
        <f t="shared" si="6"/>
        <v>10.948333333333332</v>
      </c>
    </row>
    <row r="18" spans="1:20" x14ac:dyDescent="0.3">
      <c r="A18" s="38" t="s">
        <v>44</v>
      </c>
      <c r="B18" s="34">
        <v>0.27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45">
        <f t="shared" si="4"/>
        <v>3.0000000000000002E-2</v>
      </c>
      <c r="M18" s="7" t="s">
        <v>10</v>
      </c>
      <c r="N18" s="27">
        <v>0</v>
      </c>
      <c r="O18" s="27">
        <v>9.6000000000000002E-2</v>
      </c>
      <c r="P18" s="27">
        <v>0.13</v>
      </c>
      <c r="Q18" s="28">
        <v>0</v>
      </c>
      <c r="R18" s="14">
        <v>1.7000000000000001E-2</v>
      </c>
      <c r="S18" s="15">
        <v>1.9E-2</v>
      </c>
      <c r="T18" s="45">
        <f t="shared" si="6"/>
        <v>4.3666666666666666E-2</v>
      </c>
    </row>
    <row r="19" spans="1:20" x14ac:dyDescent="0.3">
      <c r="A19" s="38" t="s">
        <v>93</v>
      </c>
      <c r="B19" s="34">
        <v>1.0900000000000001</v>
      </c>
      <c r="C19" s="34">
        <v>0.52</v>
      </c>
      <c r="D19" s="34">
        <v>2.5499999999999998</v>
      </c>
      <c r="E19" s="34">
        <v>1.49</v>
      </c>
      <c r="F19" s="34">
        <v>0</v>
      </c>
      <c r="G19" s="34">
        <v>1.56</v>
      </c>
      <c r="H19" s="34">
        <v>0.23</v>
      </c>
      <c r="I19" s="34">
        <v>3.49</v>
      </c>
      <c r="J19" s="34">
        <v>0.88</v>
      </c>
      <c r="K19" s="49">
        <f t="shared" si="4"/>
        <v>1.3122222222222224</v>
      </c>
      <c r="M19" s="7" t="s">
        <v>11</v>
      </c>
      <c r="N19" s="27">
        <v>0.33</v>
      </c>
      <c r="O19" s="27">
        <v>0.16</v>
      </c>
      <c r="P19" s="27">
        <v>6.5000000000000002E-2</v>
      </c>
      <c r="Q19" s="28">
        <v>0.16</v>
      </c>
      <c r="R19" s="14">
        <v>0.25</v>
      </c>
      <c r="S19" s="15">
        <v>9.5000000000000001E-2</v>
      </c>
      <c r="T19" s="49">
        <f t="shared" si="6"/>
        <v>0.17666666666666667</v>
      </c>
    </row>
    <row r="20" spans="1:20" x14ac:dyDescent="0.3">
      <c r="A20" s="38" t="s">
        <v>94</v>
      </c>
      <c r="B20" s="34">
        <v>98.4</v>
      </c>
      <c r="C20" s="34">
        <v>88.4</v>
      </c>
      <c r="D20" s="34">
        <v>67.3</v>
      </c>
      <c r="E20" s="34">
        <v>84.4</v>
      </c>
      <c r="F20" s="34">
        <v>92.9</v>
      </c>
      <c r="G20" s="34">
        <v>81.2</v>
      </c>
      <c r="H20" s="34">
        <v>87.7</v>
      </c>
      <c r="I20" s="34">
        <v>98.7</v>
      </c>
      <c r="J20" s="34">
        <v>92</v>
      </c>
      <c r="K20" s="49">
        <f t="shared" si="4"/>
        <v>87.8888888888889</v>
      </c>
      <c r="M20" s="7" t="s">
        <v>12</v>
      </c>
      <c r="N20" s="27">
        <v>17.399999999999999</v>
      </c>
      <c r="O20" s="27">
        <v>9.5299999999999994</v>
      </c>
      <c r="P20" s="27">
        <v>11.8</v>
      </c>
      <c r="Q20" s="28">
        <v>4.4400000000000004</v>
      </c>
      <c r="R20" s="14">
        <v>18</v>
      </c>
      <c r="S20" s="15">
        <v>10.4</v>
      </c>
      <c r="T20" s="49">
        <f t="shared" si="6"/>
        <v>11.928333333333335</v>
      </c>
    </row>
    <row r="21" spans="1:20" x14ac:dyDescent="0.3">
      <c r="A21" s="38" t="s">
        <v>46</v>
      </c>
      <c r="B21" s="34">
        <v>6.83</v>
      </c>
      <c r="C21" s="34">
        <v>7</v>
      </c>
      <c r="D21" s="34">
        <v>2.16</v>
      </c>
      <c r="E21" s="34">
        <v>0.02</v>
      </c>
      <c r="F21" s="34">
        <v>3.5</v>
      </c>
      <c r="G21" s="34">
        <v>4.7699999999999996</v>
      </c>
      <c r="H21" s="34">
        <v>2.5499999999999998</v>
      </c>
      <c r="I21" s="34">
        <v>2.84</v>
      </c>
      <c r="J21" s="34">
        <v>12.7</v>
      </c>
      <c r="K21" s="49">
        <f t="shared" si="4"/>
        <v>4.7077777777777783</v>
      </c>
      <c r="M21" s="7" t="s">
        <v>13</v>
      </c>
      <c r="N21" s="27">
        <v>4.3899999999999997</v>
      </c>
      <c r="O21" s="27">
        <v>18.399999999999999</v>
      </c>
      <c r="P21" s="27">
        <v>17.899999999999999</v>
      </c>
      <c r="Q21" s="28">
        <v>18.7</v>
      </c>
      <c r="R21" s="14">
        <v>9.18</v>
      </c>
      <c r="S21" s="15">
        <v>12.8</v>
      </c>
      <c r="T21" s="49">
        <f t="shared" si="6"/>
        <v>13.561666666666666</v>
      </c>
    </row>
    <row r="22" spans="1:20" x14ac:dyDescent="0.3">
      <c r="A22" s="38" t="s">
        <v>47</v>
      </c>
      <c r="B22" s="34">
        <v>0.14000000000000001</v>
      </c>
      <c r="C22" s="34">
        <v>0.54</v>
      </c>
      <c r="D22" s="34">
        <v>0.14000000000000001</v>
      </c>
      <c r="E22" s="34">
        <v>0.36</v>
      </c>
      <c r="F22" s="34">
        <v>0.95</v>
      </c>
      <c r="G22" s="34">
        <v>0.08</v>
      </c>
      <c r="H22" s="34">
        <v>0.22</v>
      </c>
      <c r="I22" s="34">
        <v>0.55000000000000004</v>
      </c>
      <c r="J22" s="34">
        <v>1.94</v>
      </c>
      <c r="K22" s="45">
        <f t="shared" si="4"/>
        <v>0.54666666666666663</v>
      </c>
      <c r="M22" s="10" t="s">
        <v>14</v>
      </c>
      <c r="N22" s="29">
        <v>2.48</v>
      </c>
      <c r="O22" s="29">
        <v>0.81</v>
      </c>
      <c r="P22" s="29">
        <v>0.27</v>
      </c>
      <c r="Q22" s="30">
        <v>0.4</v>
      </c>
      <c r="R22" s="16">
        <v>0.15</v>
      </c>
      <c r="S22" s="17">
        <v>8.7999999999999995E-2</v>
      </c>
      <c r="T22" s="45">
        <f t="shared" si="6"/>
        <v>0.69966666666666677</v>
      </c>
    </row>
    <row r="23" spans="1:20" x14ac:dyDescent="0.3">
      <c r="M23" s="7" t="s">
        <v>18</v>
      </c>
      <c r="N23" s="31">
        <v>81.2</v>
      </c>
      <c r="O23" s="31">
        <v>95.1</v>
      </c>
      <c r="P23" s="31">
        <v>94.1</v>
      </c>
      <c r="Q23" s="32">
        <v>83.8</v>
      </c>
      <c r="R23" s="14">
        <v>62.4</v>
      </c>
      <c r="S23" s="15">
        <v>33.200000000000003</v>
      </c>
      <c r="T23" s="45">
        <f t="shared" si="6"/>
        <v>74.966666666666654</v>
      </c>
    </row>
    <row r="24" spans="1:20" x14ac:dyDescent="0.3">
      <c r="M24" s="10" t="s">
        <v>19</v>
      </c>
      <c r="N24" s="29">
        <v>42.4</v>
      </c>
      <c r="O24" s="29">
        <v>83.9</v>
      </c>
      <c r="P24" s="29">
        <v>74.5</v>
      </c>
      <c r="Q24" s="30">
        <v>38.5</v>
      </c>
      <c r="R24" s="16">
        <v>14.6</v>
      </c>
      <c r="S24" s="17">
        <v>7.58</v>
      </c>
      <c r="T24" s="45">
        <f t="shared" si="6"/>
        <v>43.580000000000005</v>
      </c>
    </row>
    <row r="26" spans="1:20" x14ac:dyDescent="0.3">
      <c r="A26" s="50" t="s">
        <v>85</v>
      </c>
      <c r="B26" s="52" t="s">
        <v>91</v>
      </c>
      <c r="C26" s="52"/>
    </row>
    <row r="27" spans="1:20" x14ac:dyDescent="0.3">
      <c r="A27" s="50" t="s">
        <v>87</v>
      </c>
      <c r="B27" s="52" t="s">
        <v>92</v>
      </c>
      <c r="C27" s="52"/>
    </row>
    <row r="28" spans="1:20" x14ac:dyDescent="0.3">
      <c r="A28" s="50" t="s">
        <v>95</v>
      </c>
      <c r="B28" s="52" t="s">
        <v>91</v>
      </c>
      <c r="C28" s="52"/>
    </row>
    <row r="29" spans="1:20" x14ac:dyDescent="0.3">
      <c r="A29" s="50" t="s">
        <v>96</v>
      </c>
      <c r="B29" s="52" t="s">
        <v>91</v>
      </c>
      <c r="C29" s="52"/>
    </row>
    <row r="30" spans="1:20" x14ac:dyDescent="0.3">
      <c r="A30" s="51" t="s">
        <v>97</v>
      </c>
      <c r="B30" s="53" t="s">
        <v>91</v>
      </c>
      <c r="C30" s="53"/>
    </row>
    <row r="31" spans="1:20" x14ac:dyDescent="0.3">
      <c r="A31" s="54" t="s">
        <v>98</v>
      </c>
      <c r="B31" s="52"/>
      <c r="C31" s="52"/>
      <c r="D31" s="52"/>
      <c r="E31" s="52"/>
      <c r="F31" s="52"/>
      <c r="G31" s="52"/>
      <c r="H31" s="52"/>
    </row>
    <row r="32" spans="1:20" x14ac:dyDescent="0.3">
      <c r="A32" s="52"/>
      <c r="B32" s="52"/>
      <c r="C32" s="52"/>
      <c r="D32" s="52"/>
      <c r="E32" s="52"/>
      <c r="F32" s="52"/>
      <c r="G32" s="52"/>
      <c r="H32" s="52"/>
    </row>
    <row r="33" spans="1:8" x14ac:dyDescent="0.3">
      <c r="A33" s="52"/>
      <c r="B33" s="52"/>
      <c r="C33" s="52"/>
      <c r="D33" s="52"/>
      <c r="E33" s="52"/>
      <c r="F33" s="52"/>
      <c r="G33" s="52"/>
      <c r="H33" s="52"/>
    </row>
    <row r="34" spans="1:8" x14ac:dyDescent="0.3">
      <c r="A34" s="52"/>
      <c r="B34" s="52"/>
      <c r="C34" s="52"/>
      <c r="D34" s="52"/>
      <c r="E34" s="52"/>
      <c r="F34" s="52"/>
      <c r="G34" s="52"/>
      <c r="H34" s="52"/>
    </row>
  </sheetData>
  <mergeCells count="6">
    <mergeCell ref="A31:H34"/>
    <mergeCell ref="B26:C26"/>
    <mergeCell ref="B27:C27"/>
    <mergeCell ref="B28:C28"/>
    <mergeCell ref="B29:C29"/>
    <mergeCell ref="B30:C3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selection activeCell="K29" sqref="K29"/>
    </sheetView>
  </sheetViews>
  <sheetFormatPr defaultRowHeight="16.5" x14ac:dyDescent="0.3"/>
  <cols>
    <col min="1" max="1" width="21" bestFit="1" customWidth="1"/>
    <col min="12" max="12" width="21" bestFit="1" customWidth="1"/>
    <col min="13" max="14" width="15.375" bestFit="1" customWidth="1"/>
    <col min="15" max="15" width="15.25" bestFit="1" customWidth="1"/>
    <col min="16" max="16" width="13" bestFit="1" customWidth="1"/>
    <col min="17" max="18" width="14.125" bestFit="1" customWidth="1"/>
  </cols>
  <sheetData>
    <row r="1" spans="1:19" x14ac:dyDescent="0.3">
      <c r="A1" t="s">
        <v>84</v>
      </c>
      <c r="L1" s="13" t="s">
        <v>15</v>
      </c>
      <c r="M1" s="1"/>
      <c r="N1" s="1"/>
      <c r="O1" s="1"/>
      <c r="P1" s="1"/>
      <c r="Q1" s="1"/>
      <c r="R1" s="1"/>
      <c r="S1" s="1"/>
    </row>
    <row r="2" spans="1:19" x14ac:dyDescent="0.3">
      <c r="L2" s="1"/>
      <c r="M2" s="1"/>
      <c r="N2" s="1"/>
      <c r="O2" s="1"/>
      <c r="P2" s="1"/>
      <c r="Q2" s="1"/>
      <c r="R2" s="1"/>
      <c r="S2" s="1"/>
    </row>
    <row r="3" spans="1:19" x14ac:dyDescent="0.3">
      <c r="A3" s="2" t="s">
        <v>0</v>
      </c>
      <c r="B3" s="3" t="s">
        <v>68</v>
      </c>
      <c r="C3" s="3" t="s">
        <v>70</v>
      </c>
      <c r="D3" s="3" t="s">
        <v>71</v>
      </c>
      <c r="E3" s="3" t="s">
        <v>73</v>
      </c>
      <c r="F3" s="3" t="s">
        <v>74</v>
      </c>
      <c r="G3" s="3" t="s">
        <v>75</v>
      </c>
      <c r="H3" s="3" t="s">
        <v>76</v>
      </c>
      <c r="I3" s="3" t="s">
        <v>77</v>
      </c>
      <c r="L3" s="2" t="s">
        <v>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27</v>
      </c>
      <c r="R3" s="3" t="s">
        <v>28</v>
      </c>
      <c r="S3" s="1"/>
    </row>
    <row r="4" spans="1:19" x14ac:dyDescent="0.3">
      <c r="A4" s="33" t="s">
        <v>1</v>
      </c>
      <c r="B4" s="46">
        <v>1.82</v>
      </c>
      <c r="C4" s="46">
        <v>2.1800000000000002</v>
      </c>
      <c r="D4" s="46">
        <v>3.4</v>
      </c>
      <c r="E4" s="46">
        <v>5.32</v>
      </c>
      <c r="F4" s="46">
        <v>2.5</v>
      </c>
      <c r="G4" s="46">
        <v>5.39</v>
      </c>
      <c r="H4" s="46">
        <v>1.46</v>
      </c>
      <c r="I4" s="46">
        <v>4.74</v>
      </c>
      <c r="L4" s="4" t="s">
        <v>1</v>
      </c>
      <c r="M4" s="18">
        <v>1.49</v>
      </c>
      <c r="N4" s="19">
        <v>4.3</v>
      </c>
      <c r="O4" s="20">
        <v>3.51</v>
      </c>
      <c r="P4" s="19">
        <v>2.98</v>
      </c>
      <c r="Q4" s="5">
        <v>2.1</v>
      </c>
      <c r="R4" s="6">
        <v>4.5999999999999996</v>
      </c>
      <c r="S4" s="42"/>
    </row>
    <row r="5" spans="1:19" x14ac:dyDescent="0.3">
      <c r="A5" s="33" t="s">
        <v>2</v>
      </c>
      <c r="B5" s="47">
        <v>15.5</v>
      </c>
      <c r="C5" s="47">
        <v>17.8</v>
      </c>
      <c r="D5" s="47">
        <v>17.399999999999999</v>
      </c>
      <c r="E5" s="47">
        <v>17.8</v>
      </c>
      <c r="F5" s="47">
        <v>16</v>
      </c>
      <c r="G5" s="47">
        <v>17.8</v>
      </c>
      <c r="H5" s="47">
        <v>16</v>
      </c>
      <c r="I5" s="47">
        <v>20.2</v>
      </c>
      <c r="L5" s="7" t="s">
        <v>2</v>
      </c>
      <c r="M5" s="21">
        <v>16</v>
      </c>
      <c r="N5" s="22">
        <v>15</v>
      </c>
      <c r="O5" s="23">
        <v>15.5</v>
      </c>
      <c r="P5" s="22">
        <v>16</v>
      </c>
      <c r="Q5" s="8">
        <v>10.7</v>
      </c>
      <c r="R5" s="9">
        <v>16</v>
      </c>
      <c r="S5" s="42"/>
    </row>
    <row r="6" spans="1:19" x14ac:dyDescent="0.3">
      <c r="A6" s="33" t="s">
        <v>78</v>
      </c>
      <c r="B6" s="48">
        <f>(B4/B5)*10000000</f>
        <v>1174193.5483870967</v>
      </c>
      <c r="C6" s="48">
        <f t="shared" ref="C6:H6" si="0">(C4/C5)*10000000</f>
        <v>1224719.1011235956</v>
      </c>
      <c r="D6" s="48">
        <f t="shared" si="0"/>
        <v>1954022.9885057472</v>
      </c>
      <c r="E6" s="48">
        <f t="shared" si="0"/>
        <v>2988764.0449438202</v>
      </c>
      <c r="F6" s="48">
        <f t="shared" si="0"/>
        <v>1562500</v>
      </c>
      <c r="G6" s="48">
        <f t="shared" si="0"/>
        <v>3028089.8876404492</v>
      </c>
      <c r="H6" s="48">
        <f t="shared" si="0"/>
        <v>912500</v>
      </c>
      <c r="I6" s="48">
        <f>(I4/I5)*10000000</f>
        <v>2346534.6534653469</v>
      </c>
      <c r="L6" s="10" t="s">
        <v>3</v>
      </c>
      <c r="M6" s="24">
        <f>M4/M5*10000000</f>
        <v>931250</v>
      </c>
      <c r="N6" s="25">
        <f t="shared" ref="N6:P6" si="1">N4/N5*10000000</f>
        <v>2866666.666666667</v>
      </c>
      <c r="O6" s="26">
        <f t="shared" si="1"/>
        <v>2264516.1290322579</v>
      </c>
      <c r="P6" s="25">
        <f t="shared" si="1"/>
        <v>1862500</v>
      </c>
      <c r="Q6" s="11">
        <f>Q4/Q5*10000000</f>
        <v>1962616.8224299068</v>
      </c>
      <c r="R6" s="12">
        <f>R4/R5*10000000</f>
        <v>2875000</v>
      </c>
      <c r="S6" s="42"/>
    </row>
    <row r="7" spans="1:19" x14ac:dyDescent="0.3">
      <c r="A7" s="13"/>
      <c r="B7" s="13"/>
      <c r="C7" s="13"/>
      <c r="L7" s="13"/>
      <c r="M7" s="13"/>
      <c r="N7" s="13"/>
      <c r="O7" s="13"/>
      <c r="P7" s="13"/>
      <c r="Q7" s="13"/>
      <c r="R7" s="13"/>
      <c r="S7" s="1"/>
    </row>
    <row r="8" spans="1:19" x14ac:dyDescent="0.3">
      <c r="A8" s="2" t="s">
        <v>4</v>
      </c>
      <c r="B8" s="3" t="s">
        <v>67</v>
      </c>
      <c r="C8" s="3" t="s">
        <v>69</v>
      </c>
      <c r="D8" s="3" t="s">
        <v>71</v>
      </c>
      <c r="E8" s="3" t="s">
        <v>72</v>
      </c>
      <c r="F8" s="3" t="s">
        <v>74</v>
      </c>
      <c r="G8" s="3" t="s">
        <v>75</v>
      </c>
      <c r="H8" s="3" t="s">
        <v>76</v>
      </c>
      <c r="I8" s="3" t="s">
        <v>79</v>
      </c>
      <c r="J8" s="44" t="s">
        <v>66</v>
      </c>
      <c r="L8" s="2" t="s">
        <v>4</v>
      </c>
      <c r="M8" s="3" t="s">
        <v>21</v>
      </c>
      <c r="N8" s="3" t="s">
        <v>22</v>
      </c>
      <c r="O8" s="3" t="s">
        <v>25</v>
      </c>
      <c r="P8" s="3" t="s">
        <v>26</v>
      </c>
      <c r="Q8" s="3" t="s">
        <v>27</v>
      </c>
      <c r="R8" s="3" t="s">
        <v>28</v>
      </c>
      <c r="S8" s="44" t="s">
        <v>66</v>
      </c>
    </row>
    <row r="9" spans="1:19" x14ac:dyDescent="0.3">
      <c r="A9" s="33" t="s">
        <v>17</v>
      </c>
      <c r="B9" s="46">
        <v>52.1</v>
      </c>
      <c r="C9" s="46">
        <v>35.200000000000003</v>
      </c>
      <c r="D9" s="46">
        <v>37.299999999999997</v>
      </c>
      <c r="E9" s="46">
        <v>31.7</v>
      </c>
      <c r="F9" s="46">
        <v>56.6</v>
      </c>
      <c r="G9" s="46">
        <v>25.5</v>
      </c>
      <c r="H9" s="46">
        <v>34.299999999999997</v>
      </c>
      <c r="I9" s="46">
        <v>31.9</v>
      </c>
      <c r="J9" s="45">
        <f t="shared" ref="J9:J21" si="2">AVERAGE(A9:I9)</f>
        <v>38.074999999999996</v>
      </c>
      <c r="L9" s="7" t="s">
        <v>17</v>
      </c>
      <c r="M9" s="14">
        <v>29.3</v>
      </c>
      <c r="N9" s="15">
        <v>23.6</v>
      </c>
      <c r="O9" s="14">
        <v>48.2</v>
      </c>
      <c r="P9" s="15">
        <v>41.9</v>
      </c>
      <c r="Q9" s="14">
        <v>18.2</v>
      </c>
      <c r="R9" s="15">
        <v>53.3</v>
      </c>
      <c r="S9" s="45">
        <f t="shared" ref="S9:S23" si="3">AVERAGE(M9:R9)</f>
        <v>35.75</v>
      </c>
    </row>
    <row r="10" spans="1:19" x14ac:dyDescent="0.3">
      <c r="A10" s="33" t="s">
        <v>99</v>
      </c>
      <c r="B10" s="46">
        <v>15.2</v>
      </c>
      <c r="C10" s="46">
        <v>21.2</v>
      </c>
      <c r="D10" s="46">
        <v>32</v>
      </c>
      <c r="E10" s="46">
        <v>24.5</v>
      </c>
      <c r="F10" s="46">
        <v>22.2</v>
      </c>
      <c r="G10" s="46">
        <v>19.8</v>
      </c>
      <c r="H10" s="46">
        <v>30.9</v>
      </c>
      <c r="I10" s="46">
        <v>16.899999999999999</v>
      </c>
      <c r="J10" s="49">
        <f t="shared" si="2"/>
        <v>22.837500000000002</v>
      </c>
      <c r="L10" s="7" t="s">
        <v>16</v>
      </c>
      <c r="M10" s="14">
        <v>1.78</v>
      </c>
      <c r="N10" s="15">
        <v>0.37</v>
      </c>
      <c r="O10" s="14">
        <v>2.62</v>
      </c>
      <c r="P10" s="15">
        <v>0.99</v>
      </c>
      <c r="Q10" s="14">
        <v>0.57999999999999996</v>
      </c>
      <c r="R10" s="15">
        <v>1.2</v>
      </c>
      <c r="S10" s="49">
        <f t="shared" si="3"/>
        <v>1.2566666666666666</v>
      </c>
    </row>
    <row r="11" spans="1:19" x14ac:dyDescent="0.3">
      <c r="A11" s="33" t="s">
        <v>5</v>
      </c>
      <c r="B11" s="46">
        <v>1.92</v>
      </c>
      <c r="C11" s="46">
        <v>0.38</v>
      </c>
      <c r="D11" s="46">
        <v>0.56000000000000005</v>
      </c>
      <c r="E11" s="46">
        <v>1.1200000000000001</v>
      </c>
      <c r="F11" s="46">
        <v>1.46</v>
      </c>
      <c r="G11" s="46">
        <v>0.68</v>
      </c>
      <c r="H11" s="46">
        <v>1.35</v>
      </c>
      <c r="I11" s="46">
        <v>3.6</v>
      </c>
      <c r="J11" s="45">
        <f t="shared" si="2"/>
        <v>1.3837499999999998</v>
      </c>
      <c r="L11" s="7" t="s">
        <v>5</v>
      </c>
      <c r="M11" s="27">
        <v>0.92</v>
      </c>
      <c r="N11" s="27">
        <v>4.41</v>
      </c>
      <c r="O11" s="27">
        <v>12.6</v>
      </c>
      <c r="P11" s="28">
        <v>6.39</v>
      </c>
      <c r="Q11" s="14">
        <v>2.59</v>
      </c>
      <c r="R11" s="15">
        <v>2.82</v>
      </c>
      <c r="S11" s="45">
        <f t="shared" si="3"/>
        <v>4.9550000000000001</v>
      </c>
    </row>
    <row r="12" spans="1:19" x14ac:dyDescent="0.3">
      <c r="A12" s="33" t="s">
        <v>101</v>
      </c>
      <c r="B12" s="46">
        <v>5.72</v>
      </c>
      <c r="C12" s="46">
        <v>4.04</v>
      </c>
      <c r="D12" s="46">
        <v>4.12</v>
      </c>
      <c r="E12" s="46">
        <v>1.57</v>
      </c>
      <c r="F12" s="46">
        <v>3.8</v>
      </c>
      <c r="G12" s="46">
        <v>4.91</v>
      </c>
      <c r="H12" s="46">
        <v>2.0499999999999998</v>
      </c>
      <c r="I12" s="46">
        <v>10</v>
      </c>
      <c r="J12" s="49">
        <f t="shared" si="2"/>
        <v>4.5262500000000001</v>
      </c>
      <c r="L12" s="7" t="s">
        <v>6</v>
      </c>
      <c r="M12" s="27">
        <v>1</v>
      </c>
      <c r="N12" s="27">
        <v>1.44</v>
      </c>
      <c r="O12" s="27">
        <v>1.8</v>
      </c>
      <c r="P12" s="28">
        <v>1.89</v>
      </c>
      <c r="Q12" s="14">
        <v>0.2</v>
      </c>
      <c r="R12" s="15">
        <v>0.54</v>
      </c>
      <c r="S12" s="49">
        <f t="shared" si="3"/>
        <v>1.145</v>
      </c>
    </row>
    <row r="13" spans="1:19" x14ac:dyDescent="0.3">
      <c r="A13" s="33" t="s">
        <v>7</v>
      </c>
      <c r="B13" s="46">
        <v>0.85</v>
      </c>
      <c r="C13" s="46">
        <v>0.23</v>
      </c>
      <c r="D13" s="46">
        <v>0.41</v>
      </c>
      <c r="E13" s="46">
        <v>8.6999999999999994E-2</v>
      </c>
      <c r="F13" s="46">
        <v>0.5</v>
      </c>
      <c r="G13" s="46">
        <v>0.53</v>
      </c>
      <c r="H13" s="46">
        <v>0.38</v>
      </c>
      <c r="I13" s="46">
        <v>1.01</v>
      </c>
      <c r="J13" s="45">
        <f t="shared" si="2"/>
        <v>0.49962499999999999</v>
      </c>
      <c r="L13" s="7" t="s">
        <v>7</v>
      </c>
      <c r="M13" s="27">
        <v>0.12</v>
      </c>
      <c r="N13" s="27">
        <v>0.27</v>
      </c>
      <c r="O13" s="27">
        <v>0.46</v>
      </c>
      <c r="P13" s="28">
        <v>0.55000000000000004</v>
      </c>
      <c r="Q13" s="14">
        <v>3.2000000000000001E-2</v>
      </c>
      <c r="R13" s="15">
        <v>0.14000000000000001</v>
      </c>
      <c r="S13" s="45">
        <f t="shared" si="3"/>
        <v>0.26200000000000001</v>
      </c>
    </row>
    <row r="14" spans="1:19" x14ac:dyDescent="0.3">
      <c r="A14" s="33" t="s">
        <v>8</v>
      </c>
      <c r="B14" s="46">
        <v>0.11</v>
      </c>
      <c r="C14" s="46">
        <v>9.2999999999999999E-2</v>
      </c>
      <c r="D14" s="46">
        <v>2.2200000000000002</v>
      </c>
      <c r="E14" s="46">
        <v>0.39</v>
      </c>
      <c r="F14" s="46">
        <v>0.27</v>
      </c>
      <c r="G14" s="46">
        <v>0.32</v>
      </c>
      <c r="H14" s="46">
        <v>0.11</v>
      </c>
      <c r="I14" s="46">
        <v>0.24</v>
      </c>
      <c r="J14" s="45">
        <f t="shared" si="2"/>
        <v>0.46912500000000001</v>
      </c>
      <c r="L14" s="7" t="s">
        <v>8</v>
      </c>
      <c r="M14" s="27">
        <v>1.46</v>
      </c>
      <c r="N14" s="27">
        <v>0.78</v>
      </c>
      <c r="O14" s="27">
        <v>2.25</v>
      </c>
      <c r="P14" s="28">
        <v>1.53</v>
      </c>
      <c r="Q14" s="14">
        <v>0</v>
      </c>
      <c r="R14" s="15">
        <v>1.07</v>
      </c>
      <c r="S14" s="45">
        <f t="shared" si="3"/>
        <v>1.1816666666666669</v>
      </c>
    </row>
    <row r="15" spans="1:19" x14ac:dyDescent="0.3">
      <c r="A15" s="33" t="s">
        <v>20</v>
      </c>
      <c r="B15" s="46">
        <v>1.1200000000000001</v>
      </c>
      <c r="C15" s="46">
        <v>1.74</v>
      </c>
      <c r="D15" s="46">
        <v>2.46</v>
      </c>
      <c r="E15" s="46">
        <v>1.52</v>
      </c>
      <c r="F15" s="46">
        <v>1.56</v>
      </c>
      <c r="G15" s="46">
        <v>2.61</v>
      </c>
      <c r="H15" s="46">
        <v>1.35</v>
      </c>
      <c r="I15" s="46">
        <v>1.87</v>
      </c>
      <c r="J15" s="45">
        <f t="shared" si="2"/>
        <v>1.7787500000000001</v>
      </c>
      <c r="L15" s="7" t="s">
        <v>20</v>
      </c>
      <c r="M15" s="27">
        <v>1.35</v>
      </c>
      <c r="N15" s="27">
        <v>0.71</v>
      </c>
      <c r="O15" s="27">
        <v>1.58</v>
      </c>
      <c r="P15" s="28">
        <v>2.38</v>
      </c>
      <c r="Q15" s="14">
        <v>1.53</v>
      </c>
      <c r="R15" s="15">
        <v>3.03</v>
      </c>
      <c r="S15" s="45">
        <f t="shared" si="3"/>
        <v>1.7633333333333334</v>
      </c>
    </row>
    <row r="16" spans="1:19" x14ac:dyDescent="0.3">
      <c r="A16" s="33" t="s">
        <v>80</v>
      </c>
      <c r="B16" s="46">
        <v>12.3</v>
      </c>
      <c r="C16" s="46">
        <v>10.5</v>
      </c>
      <c r="D16" s="46">
        <v>16.5</v>
      </c>
      <c r="E16" s="46">
        <v>12.7</v>
      </c>
      <c r="F16" s="46">
        <v>18.5</v>
      </c>
      <c r="G16" s="46">
        <v>4.17</v>
      </c>
      <c r="H16" s="46">
        <v>13</v>
      </c>
      <c r="I16" s="46">
        <v>8.56</v>
      </c>
      <c r="J16" s="45">
        <f t="shared" si="2"/>
        <v>12.02875</v>
      </c>
      <c r="L16" s="7" t="s">
        <v>9</v>
      </c>
      <c r="M16" s="27">
        <v>20.87</v>
      </c>
      <c r="N16" s="27">
        <v>10.029999999999999</v>
      </c>
      <c r="O16" s="27">
        <v>0.82</v>
      </c>
      <c r="P16" s="28">
        <v>6.47</v>
      </c>
      <c r="Q16" s="14">
        <v>16.600000000000001</v>
      </c>
      <c r="R16" s="15">
        <v>10.9</v>
      </c>
      <c r="S16" s="45">
        <f t="shared" si="3"/>
        <v>10.948333333333332</v>
      </c>
    </row>
    <row r="17" spans="1:19" x14ac:dyDescent="0.3">
      <c r="A17" s="33" t="s">
        <v>81</v>
      </c>
      <c r="B17" s="46">
        <v>2.4E-2</v>
      </c>
      <c r="C17" s="46">
        <v>2.8000000000000001E-2</v>
      </c>
      <c r="D17" s="46">
        <v>0.02</v>
      </c>
      <c r="E17" s="46">
        <v>4.1000000000000002E-2</v>
      </c>
      <c r="F17" s="46">
        <v>2.1999999999999999E-2</v>
      </c>
      <c r="G17" s="46">
        <v>3.6999999999999998E-2</v>
      </c>
      <c r="H17" s="46">
        <v>5.2999999999999999E-2</v>
      </c>
      <c r="I17" s="46">
        <v>0</v>
      </c>
      <c r="J17" s="45">
        <f t="shared" si="2"/>
        <v>2.8125000000000001E-2</v>
      </c>
      <c r="L17" s="7" t="s">
        <v>10</v>
      </c>
      <c r="M17" s="27">
        <v>0</v>
      </c>
      <c r="N17" s="27">
        <v>9.6000000000000002E-2</v>
      </c>
      <c r="O17" s="27">
        <v>0.13</v>
      </c>
      <c r="P17" s="28">
        <v>0</v>
      </c>
      <c r="Q17" s="14">
        <v>1.7000000000000001E-2</v>
      </c>
      <c r="R17" s="15">
        <v>1.9E-2</v>
      </c>
      <c r="S17" s="45">
        <f t="shared" si="3"/>
        <v>4.3666666666666666E-2</v>
      </c>
    </row>
    <row r="18" spans="1:19" x14ac:dyDescent="0.3">
      <c r="A18" s="33" t="s">
        <v>11</v>
      </c>
      <c r="B18" s="46">
        <v>0.12</v>
      </c>
      <c r="C18" s="46">
        <v>5.7000000000000002E-2</v>
      </c>
      <c r="D18" s="46">
        <v>0.04</v>
      </c>
      <c r="E18" s="46">
        <v>0.43</v>
      </c>
      <c r="F18" s="46">
        <v>0.36</v>
      </c>
      <c r="G18" s="46">
        <v>3.6999999999999998E-2</v>
      </c>
      <c r="H18" s="46">
        <v>0.12</v>
      </c>
      <c r="I18" s="46">
        <v>8.5999999999999993E-2</v>
      </c>
      <c r="J18" s="45">
        <f t="shared" si="2"/>
        <v>0.15625000000000003</v>
      </c>
      <c r="L18" s="7" t="s">
        <v>11</v>
      </c>
      <c r="M18" s="27">
        <v>0.33</v>
      </c>
      <c r="N18" s="27">
        <v>0.16</v>
      </c>
      <c r="O18" s="27">
        <v>6.5000000000000002E-2</v>
      </c>
      <c r="P18" s="28">
        <v>0.16</v>
      </c>
      <c r="Q18" s="14">
        <v>0.25</v>
      </c>
      <c r="R18" s="15">
        <v>9.5000000000000001E-2</v>
      </c>
      <c r="S18" s="45">
        <f t="shared" si="3"/>
        <v>0.17666666666666667</v>
      </c>
    </row>
    <row r="19" spans="1:19" x14ac:dyDescent="0.3">
      <c r="A19" s="33" t="s">
        <v>12</v>
      </c>
      <c r="B19" s="46">
        <v>11.4</v>
      </c>
      <c r="C19" s="46">
        <v>7.8</v>
      </c>
      <c r="D19" s="46">
        <v>14.1</v>
      </c>
      <c r="E19" s="46">
        <v>10.7</v>
      </c>
      <c r="F19" s="46">
        <v>14.9</v>
      </c>
      <c r="G19" s="46">
        <v>3.81</v>
      </c>
      <c r="H19" s="46">
        <v>12</v>
      </c>
      <c r="I19" s="46">
        <v>8.27</v>
      </c>
      <c r="J19" s="45">
        <f t="shared" si="2"/>
        <v>10.3725</v>
      </c>
      <c r="L19" s="7" t="s">
        <v>12</v>
      </c>
      <c r="M19" s="27">
        <v>17.399999999999999</v>
      </c>
      <c r="N19" s="27">
        <v>9.5299999999999994</v>
      </c>
      <c r="O19" s="27">
        <v>11.8</v>
      </c>
      <c r="P19" s="28">
        <v>4.4400000000000004</v>
      </c>
      <c r="Q19" s="14">
        <v>18</v>
      </c>
      <c r="R19" s="15">
        <v>10.4</v>
      </c>
      <c r="S19" s="45">
        <f t="shared" si="3"/>
        <v>11.928333333333335</v>
      </c>
    </row>
    <row r="20" spans="1:19" x14ac:dyDescent="0.3">
      <c r="A20" s="33" t="s">
        <v>82</v>
      </c>
      <c r="B20" s="46">
        <v>15.5</v>
      </c>
      <c r="C20" s="46">
        <v>24.5</v>
      </c>
      <c r="D20" s="46">
        <v>19</v>
      </c>
      <c r="E20" s="46">
        <v>6.46</v>
      </c>
      <c r="F20" s="46">
        <v>7.19</v>
      </c>
      <c r="G20" s="46">
        <v>6.01</v>
      </c>
      <c r="H20" s="46">
        <v>9.5</v>
      </c>
      <c r="I20" s="46">
        <v>9.17</v>
      </c>
      <c r="J20" s="45">
        <f t="shared" si="2"/>
        <v>12.16625</v>
      </c>
      <c r="L20" s="7" t="s">
        <v>13</v>
      </c>
      <c r="M20" s="27">
        <v>4.3899999999999997</v>
      </c>
      <c r="N20" s="27">
        <v>18.399999999999999</v>
      </c>
      <c r="O20" s="27">
        <v>17.899999999999999</v>
      </c>
      <c r="P20" s="28">
        <v>18.7</v>
      </c>
      <c r="Q20" s="14">
        <v>9.18</v>
      </c>
      <c r="R20" s="15">
        <v>12.8</v>
      </c>
      <c r="S20" s="45">
        <f t="shared" si="3"/>
        <v>13.561666666666666</v>
      </c>
    </row>
    <row r="21" spans="1:19" x14ac:dyDescent="0.3">
      <c r="A21" s="33" t="s">
        <v>83</v>
      </c>
      <c r="B21" s="46">
        <v>0.1</v>
      </c>
      <c r="C21" s="46">
        <v>5.6000000000000001E-2</v>
      </c>
      <c r="D21" s="46">
        <v>2.5999999999999999E-2</v>
      </c>
      <c r="E21" s="46">
        <v>2.4E-2</v>
      </c>
      <c r="F21" s="46">
        <v>0.37</v>
      </c>
      <c r="G21" s="46">
        <v>3.9E-2</v>
      </c>
      <c r="H21" s="46">
        <v>0.2</v>
      </c>
      <c r="I21" s="46">
        <v>5.8000000000000003E-2</v>
      </c>
      <c r="J21" s="45">
        <f t="shared" si="2"/>
        <v>0.109125</v>
      </c>
      <c r="L21" s="10" t="s">
        <v>14</v>
      </c>
      <c r="M21" s="29">
        <v>2.48</v>
      </c>
      <c r="N21" s="29">
        <v>0.81</v>
      </c>
      <c r="O21" s="29">
        <v>0.27</v>
      </c>
      <c r="P21" s="30">
        <v>0.4</v>
      </c>
      <c r="Q21" s="16">
        <v>0.15</v>
      </c>
      <c r="R21" s="17">
        <v>8.7999999999999995E-2</v>
      </c>
      <c r="S21" s="45">
        <f t="shared" si="3"/>
        <v>0.69966666666666677</v>
      </c>
    </row>
    <row r="22" spans="1:19" x14ac:dyDescent="0.3">
      <c r="L22" s="7" t="s">
        <v>18</v>
      </c>
      <c r="M22" s="31">
        <v>81.2</v>
      </c>
      <c r="N22" s="31">
        <v>95.1</v>
      </c>
      <c r="O22" s="31">
        <v>94.1</v>
      </c>
      <c r="P22" s="32">
        <v>83.8</v>
      </c>
      <c r="Q22" s="14">
        <v>62.4</v>
      </c>
      <c r="R22" s="15">
        <v>33.200000000000003</v>
      </c>
      <c r="S22" s="45">
        <f t="shared" si="3"/>
        <v>74.966666666666654</v>
      </c>
    </row>
    <row r="23" spans="1:19" x14ac:dyDescent="0.3">
      <c r="L23" s="10" t="s">
        <v>19</v>
      </c>
      <c r="M23" s="29">
        <v>42.4</v>
      </c>
      <c r="N23" s="29">
        <v>83.9</v>
      </c>
      <c r="O23" s="29">
        <v>74.5</v>
      </c>
      <c r="P23" s="30">
        <v>38.5</v>
      </c>
      <c r="Q23" s="16">
        <v>14.6</v>
      </c>
      <c r="R23" s="17">
        <v>7.58</v>
      </c>
      <c r="S23" s="45">
        <f t="shared" si="3"/>
        <v>43.580000000000005</v>
      </c>
    </row>
    <row r="26" spans="1:19" x14ac:dyDescent="0.3">
      <c r="A26" s="50" t="s">
        <v>100</v>
      </c>
      <c r="B26" s="52" t="s">
        <v>103</v>
      </c>
      <c r="C26" s="52"/>
    </row>
    <row r="27" spans="1:19" x14ac:dyDescent="0.3">
      <c r="A27" s="51" t="s">
        <v>102</v>
      </c>
      <c r="B27" s="53" t="s">
        <v>104</v>
      </c>
      <c r="C27" s="53"/>
    </row>
    <row r="28" spans="1:19" x14ac:dyDescent="0.3">
      <c r="A28" s="54" t="s">
        <v>105</v>
      </c>
      <c r="B28" s="52"/>
      <c r="C28" s="52"/>
      <c r="D28" s="52"/>
      <c r="E28" s="52"/>
      <c r="F28" s="52"/>
      <c r="G28" s="52"/>
      <c r="H28" s="52"/>
    </row>
    <row r="29" spans="1:19" x14ac:dyDescent="0.3">
      <c r="A29" s="52"/>
      <c r="B29" s="52"/>
      <c r="C29" s="52"/>
      <c r="D29" s="52"/>
      <c r="E29" s="52"/>
      <c r="F29" s="52"/>
      <c r="G29" s="52"/>
      <c r="H29" s="52"/>
    </row>
  </sheetData>
  <mergeCells count="3">
    <mergeCell ref="B26:C26"/>
    <mergeCell ref="B27:C27"/>
    <mergeCell ref="A28:H2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H25" sqref="H25"/>
    </sheetView>
  </sheetViews>
  <sheetFormatPr defaultRowHeight="16.5" x14ac:dyDescent="0.3"/>
  <cols>
    <col min="1" max="1" width="15.375" bestFit="1" customWidth="1"/>
    <col min="2" max="2" width="15.375" customWidth="1"/>
    <col min="3" max="10" width="13.75" customWidth="1"/>
    <col min="11" max="11" width="13.125" bestFit="1" customWidth="1"/>
    <col min="12" max="14" width="13.75" customWidth="1"/>
    <col min="15" max="15" width="14.375" bestFit="1" customWidth="1"/>
    <col min="16" max="16" width="17.375" bestFit="1" customWidth="1"/>
  </cols>
  <sheetData>
    <row r="1" spans="1:16" ht="30" x14ac:dyDescent="0.3">
      <c r="A1" s="37" t="s">
        <v>0</v>
      </c>
      <c r="B1" s="37" t="s">
        <v>112</v>
      </c>
      <c r="C1" s="38" t="s">
        <v>115</v>
      </c>
      <c r="D1" s="38" t="s">
        <v>116</v>
      </c>
      <c r="E1" s="38" t="s">
        <v>117</v>
      </c>
      <c r="F1" s="38" t="s">
        <v>118</v>
      </c>
      <c r="G1" s="38" t="s">
        <v>119</v>
      </c>
      <c r="H1" s="38" t="s">
        <v>120</v>
      </c>
      <c r="I1" s="38" t="s">
        <v>121</v>
      </c>
      <c r="J1" s="38" t="s">
        <v>123</v>
      </c>
      <c r="K1" s="39" t="s">
        <v>126</v>
      </c>
      <c r="L1" s="38" t="s">
        <v>44</v>
      </c>
      <c r="M1" s="38" t="s">
        <v>124</v>
      </c>
      <c r="N1" s="38" t="s">
        <v>125</v>
      </c>
      <c r="O1" s="38" t="s">
        <v>122</v>
      </c>
      <c r="P1" s="38" t="s">
        <v>47</v>
      </c>
    </row>
    <row r="2" spans="1:16" x14ac:dyDescent="0.3">
      <c r="A2" s="34" t="s">
        <v>29</v>
      </c>
      <c r="B2" s="34" t="s">
        <v>113</v>
      </c>
      <c r="C2" s="34">
        <v>70.3</v>
      </c>
      <c r="D2" s="34">
        <v>54.8</v>
      </c>
      <c r="E2" s="34">
        <v>41.6</v>
      </c>
      <c r="F2" s="34">
        <v>30.9</v>
      </c>
      <c r="G2" s="34">
        <v>1.2</v>
      </c>
      <c r="H2" s="34">
        <v>5.77</v>
      </c>
      <c r="I2" s="34">
        <v>4.38</v>
      </c>
      <c r="J2" s="34"/>
      <c r="K2" s="34">
        <v>2.58</v>
      </c>
      <c r="L2" s="34"/>
      <c r="M2" s="34"/>
      <c r="N2" s="34"/>
      <c r="O2" s="34">
        <v>7.87</v>
      </c>
      <c r="P2" s="34">
        <v>7.0000000000000007E-2</v>
      </c>
    </row>
    <row r="3" spans="1:16" x14ac:dyDescent="0.3">
      <c r="A3" s="34" t="s">
        <v>30</v>
      </c>
      <c r="B3" s="34" t="s">
        <v>113</v>
      </c>
      <c r="C3" s="34">
        <v>61.7</v>
      </c>
      <c r="D3" s="34">
        <v>55.6</v>
      </c>
      <c r="E3" s="34">
        <v>38.799999999999997</v>
      </c>
      <c r="F3" s="34">
        <v>17.899999999999999</v>
      </c>
      <c r="G3" s="34">
        <v>2.63</v>
      </c>
      <c r="H3" s="34">
        <v>1.62</v>
      </c>
      <c r="I3" s="34">
        <v>0.96</v>
      </c>
      <c r="J3" s="34">
        <v>0.28000000000000003</v>
      </c>
      <c r="K3" s="34">
        <v>9.06</v>
      </c>
      <c r="L3" s="34"/>
      <c r="M3" s="34">
        <v>0.1</v>
      </c>
      <c r="N3" s="34">
        <v>98.6</v>
      </c>
      <c r="O3" s="34">
        <v>2.83</v>
      </c>
      <c r="P3" s="34">
        <v>0</v>
      </c>
    </row>
    <row r="4" spans="1:16" x14ac:dyDescent="0.3">
      <c r="A4" s="34" t="s">
        <v>31</v>
      </c>
      <c r="B4" s="34" t="s">
        <v>113</v>
      </c>
      <c r="C4" s="34">
        <v>64.5</v>
      </c>
      <c r="D4" s="34">
        <v>48.2</v>
      </c>
      <c r="E4" s="34">
        <v>46.1</v>
      </c>
      <c r="F4" s="34">
        <v>25.8</v>
      </c>
      <c r="G4" s="34">
        <v>1.46</v>
      </c>
      <c r="H4" s="34">
        <v>1.25</v>
      </c>
      <c r="I4" s="34">
        <v>0.1</v>
      </c>
      <c r="J4" s="34">
        <v>2.63</v>
      </c>
      <c r="K4" s="34">
        <v>2.61</v>
      </c>
      <c r="L4" s="34"/>
      <c r="M4" s="34">
        <v>8.8800000000000008</v>
      </c>
      <c r="N4" s="34">
        <v>39</v>
      </c>
      <c r="O4" s="34">
        <v>3.09</v>
      </c>
      <c r="P4" s="34">
        <v>0.04</v>
      </c>
    </row>
    <row r="5" spans="1:16" x14ac:dyDescent="0.3">
      <c r="A5" s="34" t="s">
        <v>32</v>
      </c>
      <c r="B5" s="34" t="s">
        <v>113</v>
      </c>
      <c r="C5" s="34">
        <v>87.4</v>
      </c>
      <c r="D5" s="34">
        <v>23.7</v>
      </c>
      <c r="E5" s="34">
        <v>69.599999999999994</v>
      </c>
      <c r="F5" s="34">
        <v>5.32</v>
      </c>
      <c r="G5" s="34">
        <v>0.52</v>
      </c>
      <c r="H5" s="34">
        <v>0.65</v>
      </c>
      <c r="I5" s="34">
        <v>1.83</v>
      </c>
      <c r="J5" s="34">
        <v>0.41</v>
      </c>
      <c r="K5" s="34">
        <v>16.899999999999999</v>
      </c>
      <c r="L5" s="34"/>
      <c r="M5" s="34">
        <v>0.8</v>
      </c>
      <c r="N5" s="34">
        <v>99.6</v>
      </c>
      <c r="O5" s="34">
        <v>0.34</v>
      </c>
      <c r="P5" s="34">
        <v>0</v>
      </c>
    </row>
    <row r="6" spans="1:16" x14ac:dyDescent="0.3">
      <c r="A6" s="34" t="s">
        <v>33</v>
      </c>
      <c r="B6" s="34" t="s">
        <v>113</v>
      </c>
      <c r="C6" s="34">
        <v>76.5</v>
      </c>
      <c r="D6" s="34">
        <v>23.7</v>
      </c>
      <c r="E6" s="34">
        <v>70.400000000000006</v>
      </c>
      <c r="F6" s="34">
        <v>16.600000000000001</v>
      </c>
      <c r="G6" s="34">
        <v>0.87</v>
      </c>
      <c r="H6" s="34">
        <v>0.51</v>
      </c>
      <c r="I6" s="34">
        <v>1.07</v>
      </c>
      <c r="J6" s="34">
        <v>4.46</v>
      </c>
      <c r="K6" s="34">
        <v>6.7</v>
      </c>
      <c r="L6" s="34"/>
      <c r="M6" s="34">
        <v>0</v>
      </c>
      <c r="N6" s="34">
        <v>97.3</v>
      </c>
      <c r="O6" s="34">
        <v>4.32</v>
      </c>
      <c r="P6" s="34">
        <v>0.09</v>
      </c>
    </row>
    <row r="7" spans="1:16" x14ac:dyDescent="0.3">
      <c r="A7" s="34" t="s">
        <v>34</v>
      </c>
      <c r="B7" s="34" t="s">
        <v>113</v>
      </c>
      <c r="C7" s="34">
        <v>71</v>
      </c>
      <c r="D7" s="34">
        <v>47.3</v>
      </c>
      <c r="E7" s="34">
        <v>45.8</v>
      </c>
      <c r="F7" s="34">
        <v>9.5500000000000007</v>
      </c>
      <c r="G7" s="34">
        <v>1.69</v>
      </c>
      <c r="H7" s="34">
        <v>1.03</v>
      </c>
      <c r="I7" s="34">
        <v>0</v>
      </c>
      <c r="J7" s="34">
        <v>6.27</v>
      </c>
      <c r="K7" s="34">
        <v>25</v>
      </c>
      <c r="L7" s="34"/>
      <c r="M7" s="34">
        <v>1.1200000000000001</v>
      </c>
      <c r="N7" s="34">
        <v>98</v>
      </c>
      <c r="O7" s="34">
        <v>1.87</v>
      </c>
      <c r="P7" s="34">
        <v>1.29</v>
      </c>
    </row>
    <row r="8" spans="1:16" x14ac:dyDescent="0.3">
      <c r="A8" s="34" t="s">
        <v>35</v>
      </c>
      <c r="B8" s="34" t="s">
        <v>113</v>
      </c>
      <c r="C8" s="34">
        <v>82.3</v>
      </c>
      <c r="D8" s="34">
        <v>30.2</v>
      </c>
      <c r="E8" s="34">
        <v>65.900000000000006</v>
      </c>
      <c r="F8" s="34">
        <v>3.26</v>
      </c>
      <c r="G8" s="34">
        <v>2.5299999999999998</v>
      </c>
      <c r="H8" s="34">
        <v>0.52</v>
      </c>
      <c r="I8" s="34">
        <v>0.74</v>
      </c>
      <c r="J8" s="34">
        <v>12.9</v>
      </c>
      <c r="K8" s="34">
        <v>2.5099999999999998</v>
      </c>
      <c r="L8" s="34"/>
      <c r="M8" s="34">
        <v>0</v>
      </c>
      <c r="N8" s="34">
        <v>98.1</v>
      </c>
      <c r="O8" s="34">
        <v>0.84</v>
      </c>
      <c r="P8" s="34">
        <v>0.17</v>
      </c>
    </row>
    <row r="9" spans="1:16" x14ac:dyDescent="0.3">
      <c r="A9" s="34" t="s">
        <v>50</v>
      </c>
      <c r="B9" s="34" t="s">
        <v>113</v>
      </c>
      <c r="C9" s="34">
        <v>50.3</v>
      </c>
      <c r="D9" s="34">
        <v>66.400000000000006</v>
      </c>
      <c r="E9" s="34">
        <v>30.6</v>
      </c>
      <c r="F9" s="34">
        <v>42.9</v>
      </c>
      <c r="G9" s="34">
        <v>0.86</v>
      </c>
      <c r="H9" s="34">
        <v>3.68</v>
      </c>
      <c r="I9" s="34">
        <v>3.15</v>
      </c>
      <c r="J9" s="34"/>
      <c r="K9" s="34">
        <v>24.1</v>
      </c>
      <c r="L9" s="34"/>
      <c r="M9" s="34"/>
      <c r="N9" s="34"/>
      <c r="O9" s="34">
        <v>1.53</v>
      </c>
      <c r="P9" s="34">
        <v>1.72</v>
      </c>
    </row>
    <row r="10" spans="1:16" x14ac:dyDescent="0.3">
      <c r="A10" s="34" t="s">
        <v>51</v>
      </c>
      <c r="B10" s="34" t="s">
        <v>113</v>
      </c>
      <c r="C10" s="34">
        <v>14.1</v>
      </c>
      <c r="D10" s="34">
        <v>53.2</v>
      </c>
      <c r="E10" s="34">
        <v>45.4</v>
      </c>
      <c r="F10" s="34">
        <v>1.1200000000000001</v>
      </c>
      <c r="G10" s="34">
        <v>2.6</v>
      </c>
      <c r="H10" s="34">
        <v>0.1</v>
      </c>
      <c r="I10" s="34">
        <v>2.71</v>
      </c>
      <c r="J10" s="34"/>
      <c r="K10" s="34">
        <v>12.2</v>
      </c>
      <c r="L10" s="34"/>
      <c r="M10" s="34"/>
      <c r="N10" s="34"/>
      <c r="O10" s="34">
        <v>0.75</v>
      </c>
      <c r="P10" s="34">
        <v>0.47</v>
      </c>
    </row>
    <row r="11" spans="1:16" x14ac:dyDescent="0.3">
      <c r="A11" s="34" t="s">
        <v>52</v>
      </c>
      <c r="B11" s="34" t="s">
        <v>113</v>
      </c>
      <c r="C11" s="34">
        <v>21.7</v>
      </c>
      <c r="D11" s="34">
        <v>42</v>
      </c>
      <c r="E11" s="34">
        <v>49</v>
      </c>
      <c r="F11" s="34">
        <v>37.299999999999997</v>
      </c>
      <c r="G11" s="34">
        <v>1.37</v>
      </c>
      <c r="H11" s="34">
        <v>1.03</v>
      </c>
      <c r="I11" s="34">
        <v>8.4600000000000009</v>
      </c>
      <c r="J11" s="34">
        <v>5.71</v>
      </c>
      <c r="K11" s="34">
        <v>21.9</v>
      </c>
      <c r="L11" s="34"/>
      <c r="M11" s="34">
        <v>0.8</v>
      </c>
      <c r="N11" s="34">
        <v>94.3</v>
      </c>
      <c r="O11" s="34">
        <v>6.6</v>
      </c>
      <c r="P11" s="34">
        <v>0.73</v>
      </c>
    </row>
    <row r="12" spans="1:16" x14ac:dyDescent="0.3">
      <c r="A12" s="34" t="s">
        <v>106</v>
      </c>
      <c r="B12" s="34" t="s">
        <v>114</v>
      </c>
      <c r="C12" s="34">
        <v>29.3</v>
      </c>
      <c r="D12" s="34">
        <v>1.78</v>
      </c>
      <c r="E12" s="34"/>
      <c r="F12" s="34">
        <v>0.92</v>
      </c>
      <c r="G12" s="34">
        <v>1</v>
      </c>
      <c r="H12" s="34">
        <v>0.12</v>
      </c>
      <c r="I12" s="34">
        <v>1.46</v>
      </c>
      <c r="J12" s="34">
        <v>1.35</v>
      </c>
      <c r="K12" s="34">
        <v>20.87</v>
      </c>
      <c r="L12" s="34">
        <v>0</v>
      </c>
      <c r="M12" s="34">
        <v>0.33</v>
      </c>
      <c r="N12" s="34">
        <v>17.399999999999999</v>
      </c>
      <c r="O12" s="34">
        <v>4.3899999999999997</v>
      </c>
      <c r="P12" s="34">
        <v>2.48</v>
      </c>
    </row>
    <row r="13" spans="1:16" x14ac:dyDescent="0.3">
      <c r="A13" s="34" t="s">
        <v>107</v>
      </c>
      <c r="B13" s="34" t="s">
        <v>114</v>
      </c>
      <c r="C13" s="34">
        <v>23.6</v>
      </c>
      <c r="D13" s="34">
        <v>0.37</v>
      </c>
      <c r="E13" s="34"/>
      <c r="F13" s="34">
        <v>4.41</v>
      </c>
      <c r="G13" s="34">
        <v>1.44</v>
      </c>
      <c r="H13" s="34">
        <v>0.27</v>
      </c>
      <c r="I13" s="34">
        <v>0.78</v>
      </c>
      <c r="J13" s="34">
        <v>0.71</v>
      </c>
      <c r="K13" s="34">
        <v>10.029999999999999</v>
      </c>
      <c r="L13" s="34">
        <v>9.6000000000000002E-2</v>
      </c>
      <c r="M13" s="34">
        <v>0.16</v>
      </c>
      <c r="N13" s="34">
        <v>9.5299999999999994</v>
      </c>
      <c r="O13" s="34">
        <v>18.399999999999999</v>
      </c>
      <c r="P13" s="34">
        <v>0.81</v>
      </c>
    </row>
    <row r="14" spans="1:16" x14ac:dyDescent="0.3">
      <c r="A14" s="34" t="s">
        <v>108</v>
      </c>
      <c r="B14" s="34" t="s">
        <v>114</v>
      </c>
      <c r="C14" s="34">
        <v>48.2</v>
      </c>
      <c r="D14" s="34">
        <v>2.62</v>
      </c>
      <c r="E14" s="34"/>
      <c r="F14" s="34">
        <v>12.6</v>
      </c>
      <c r="G14" s="34">
        <v>1.8</v>
      </c>
      <c r="H14" s="34">
        <v>0.46</v>
      </c>
      <c r="I14" s="34">
        <v>2.25</v>
      </c>
      <c r="J14" s="34">
        <v>1.58</v>
      </c>
      <c r="K14" s="34">
        <v>0.82</v>
      </c>
      <c r="L14" s="34">
        <v>0.13</v>
      </c>
      <c r="M14" s="34">
        <v>6.5000000000000002E-2</v>
      </c>
      <c r="N14" s="34">
        <v>11.8</v>
      </c>
      <c r="O14" s="34">
        <v>17.899999999999999</v>
      </c>
      <c r="P14" s="34">
        <v>0.27</v>
      </c>
    </row>
    <row r="15" spans="1:16" x14ac:dyDescent="0.3">
      <c r="A15" s="34" t="s">
        <v>109</v>
      </c>
      <c r="B15" s="34" t="s">
        <v>114</v>
      </c>
      <c r="C15" s="34">
        <v>41.9</v>
      </c>
      <c r="D15" s="34">
        <v>0.99</v>
      </c>
      <c r="E15" s="34"/>
      <c r="F15" s="34">
        <v>6.39</v>
      </c>
      <c r="G15" s="34">
        <v>1.89</v>
      </c>
      <c r="H15" s="34">
        <v>0.55000000000000004</v>
      </c>
      <c r="I15" s="34">
        <v>1.53</v>
      </c>
      <c r="J15" s="34">
        <v>2.38</v>
      </c>
      <c r="K15" s="34">
        <v>6.47</v>
      </c>
      <c r="L15" s="34">
        <v>0</v>
      </c>
      <c r="M15" s="34">
        <v>0.16</v>
      </c>
      <c r="N15" s="34">
        <v>4.4400000000000004</v>
      </c>
      <c r="O15" s="34">
        <v>18.7</v>
      </c>
      <c r="P15" s="34">
        <v>0.4</v>
      </c>
    </row>
    <row r="16" spans="1:16" x14ac:dyDescent="0.3">
      <c r="A16" s="34" t="s">
        <v>110</v>
      </c>
      <c r="B16" s="34" t="s">
        <v>114</v>
      </c>
      <c r="C16" s="34">
        <v>18.2</v>
      </c>
      <c r="D16" s="34">
        <v>0.57999999999999996</v>
      </c>
      <c r="E16" s="34"/>
      <c r="F16" s="34">
        <v>2.59</v>
      </c>
      <c r="G16" s="34">
        <v>0.2</v>
      </c>
      <c r="H16" s="34">
        <v>3.2000000000000001E-2</v>
      </c>
      <c r="I16" s="34">
        <v>0</v>
      </c>
      <c r="J16" s="34">
        <v>1.53</v>
      </c>
      <c r="K16" s="34">
        <v>16.600000000000001</v>
      </c>
      <c r="L16" s="34">
        <v>1.7000000000000001E-2</v>
      </c>
      <c r="M16" s="34">
        <v>0.25</v>
      </c>
      <c r="N16" s="34">
        <v>18</v>
      </c>
      <c r="O16" s="34">
        <v>9.18</v>
      </c>
      <c r="P16" s="34">
        <v>0.15</v>
      </c>
    </row>
    <row r="17" spans="1:16" x14ac:dyDescent="0.3">
      <c r="A17" s="34" t="s">
        <v>111</v>
      </c>
      <c r="B17" s="34" t="s">
        <v>114</v>
      </c>
      <c r="C17" s="34">
        <v>53.3</v>
      </c>
      <c r="D17" s="34">
        <v>1.2</v>
      </c>
      <c r="E17" s="34"/>
      <c r="F17" s="34">
        <v>2.82</v>
      </c>
      <c r="G17" s="34">
        <v>0.54</v>
      </c>
      <c r="H17" s="34">
        <v>0.14000000000000001</v>
      </c>
      <c r="I17" s="34">
        <v>1.07</v>
      </c>
      <c r="J17" s="34">
        <v>3.03</v>
      </c>
      <c r="K17" s="34">
        <v>10.9</v>
      </c>
      <c r="L17" s="34">
        <v>1.9E-2</v>
      </c>
      <c r="M17" s="34">
        <v>9.5000000000000001E-2</v>
      </c>
      <c r="N17" s="34">
        <v>10.4</v>
      </c>
      <c r="O17" s="34">
        <v>12.8</v>
      </c>
      <c r="P17" s="34">
        <v>8.7999999999999995E-2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정상인</vt:lpstr>
      <vt:lpstr>SLE</vt:lpstr>
      <vt:lpstr>MSA</vt:lpstr>
      <vt:lpstr>CA</vt:lpstr>
      <vt:lpstr>merged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윤보미</dc:creator>
  <cp:lastModifiedBy>User</cp:lastModifiedBy>
  <dcterms:created xsi:type="dcterms:W3CDTF">2020-10-05T01:52:00Z</dcterms:created>
  <dcterms:modified xsi:type="dcterms:W3CDTF">2020-10-28T05:25:56Z</dcterms:modified>
</cp:coreProperties>
</file>